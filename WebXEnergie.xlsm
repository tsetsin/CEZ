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vetan.tsonev\DATA\WebXEnergie\"/>
    </mc:Choice>
  </mc:AlternateContent>
  <xr:revisionPtr revIDLastSave="0" documentId="13_ncr:1_{9A032CEB-E5E6-4DFF-B130-89939C42F9BF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List" sheetId="4" r:id="rId1"/>
  </sheets>
  <externalReferences>
    <externalReference r:id="rId2"/>
  </externalReferences>
  <definedNames>
    <definedName name="Dat_DO">#REF!</definedName>
    <definedName name="Dat_DO_">#REF!</definedName>
    <definedName name="Dat_OD">#REF!</definedName>
    <definedName name="Dat_OD_">#REF!</definedName>
    <definedName name="Nav_Dat">#REF!</definedName>
    <definedName name="Nav_Dat_">#REF!</definedName>
    <definedName name="Nav_Hodn1st">#REF!</definedName>
    <definedName name="Nav_Hodn1st_">#REF!</definedName>
    <definedName name="PrName">OFFSET([1]XE_Profil_Maker!$A$2,0,0,COUNTA([1]XE_Profil_Maker!$A:$A)-1,1)</definedName>
    <definedName name="PrvniProf">#REF!</definedName>
    <definedName name="PrvniProf_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4" i="4" l="1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E14" i="4"/>
  <c r="E13" i="4"/>
  <c r="E12" i="4"/>
  <c r="E11" i="4"/>
  <c r="E10" i="4"/>
  <c r="E9" i="4"/>
  <c r="E8" i="4"/>
  <c r="E7" i="4"/>
  <c r="E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SO_15" description="Connection to the 'ESO_15' query in the workbook." type="5" refreshedVersion="6" background="1" saveData="1">
    <dbPr connection="Provider=Microsoft.Mashup.OleDb.1;Data Source=$Workbook$;Location=ESO_15;Extended Properties=&quot;&quot;" command="SELECT * FROM [ESO_15]"/>
  </connection>
</connections>
</file>

<file path=xl/sharedStrings.xml><?xml version="1.0" encoding="utf-8"?>
<sst xmlns="http://schemas.openxmlformats.org/spreadsheetml/2006/main" count="61" uniqueCount="58">
  <si>
    <t>Account name</t>
  </si>
  <si>
    <t>Group</t>
  </si>
  <si>
    <t>Group comment</t>
  </si>
  <si>
    <t>Profile</t>
  </si>
  <si>
    <t>Profile comment</t>
  </si>
  <si>
    <t>SkySolar</t>
  </si>
  <si>
    <t>ФтЕЦ Тополата 1</t>
  </si>
  <si>
    <t>Соларен Парк Хаджидимово 1 ЕООД</t>
  </si>
  <si>
    <t>Предварителни данни: продадени количества по прогноза Д+1</t>
  </si>
  <si>
    <t>Предварителни данни: продадени количества на пазар ВРД</t>
  </si>
  <si>
    <t>Предварителни данни: закупени количества на пазар ВРД</t>
  </si>
  <si>
    <t>Предварителни данни: Борсова цена за пазар Д+1</t>
  </si>
  <si>
    <t>Предварителни данни: Борсова цена за покупки на пазар ВРД</t>
  </si>
  <si>
    <t>Предварителни данни: Борсова цена за продажби на пазар ВРД</t>
  </si>
  <si>
    <t>Предварителни данни: Цена на балансираща енергия за недостиг</t>
  </si>
  <si>
    <t>Предварителни данни: Цена на балансираща енергия за излишък</t>
  </si>
  <si>
    <t>ФтЕЦ Тополата 2</t>
  </si>
  <si>
    <t>ФтЕЦ Макреш</t>
  </si>
  <si>
    <t>ГЕОВИД ЕООД</t>
  </si>
  <si>
    <t>ФтЕЦ Солар Плана</t>
  </si>
  <si>
    <t>Солар Плана ЕООД</t>
  </si>
  <si>
    <t>ФтЕЦ Скай Солар</t>
  </si>
  <si>
    <t>Кадийца ЕООД</t>
  </si>
  <si>
    <t>Lom</t>
  </si>
  <si>
    <t>ФтЕЦ Лом</t>
  </si>
  <si>
    <t>КЕЙ ДИВЕЛЪПМЪНТ КОНСТРАКШЪН ЕАД</t>
  </si>
  <si>
    <t>Taftino</t>
  </si>
  <si>
    <t>ФтЕЦ Тафтино 2</t>
  </si>
  <si>
    <t>ФЕЦ Тафтино ООД</t>
  </si>
  <si>
    <t>ФтЕЦ Тафтино 3</t>
  </si>
  <si>
    <t>Chuprene</t>
  </si>
  <si>
    <t>ВЕЦ Чупрене 1</t>
  </si>
  <si>
    <t>Мантех ООД</t>
  </si>
  <si>
    <t>ВЕЦ Бистрица А</t>
  </si>
  <si>
    <t>А и А ООД</t>
  </si>
  <si>
    <t>БИО Долно Церовене</t>
  </si>
  <si>
    <t>Екоен 8 ЕООД</t>
  </si>
  <si>
    <t>Studena</t>
  </si>
  <si>
    <t>ВЕЦ Студена И1</t>
  </si>
  <si>
    <t>ВОДОСНАБДЯВАНЕ И КАНАЛИЗАЦИЯ ООД</t>
  </si>
  <si>
    <t>ВЕЦ Студена И2</t>
  </si>
  <si>
    <t>Bistrica_A</t>
  </si>
  <si>
    <t>D_Cerovene</t>
  </si>
  <si>
    <t>Соларен Парк Хаджидимово 2 ЕООД</t>
  </si>
  <si>
    <t>Предварителни данни: Измерени количества</t>
  </si>
  <si>
    <t>Robul</t>
  </si>
  <si>
    <t>ФтЕЦ Робул</t>
  </si>
  <si>
    <t>РОБУЛ ФУТУРУМ 1 ООД</t>
  </si>
  <si>
    <t>Stolichna</t>
  </si>
  <si>
    <t>Био Хан Богоров</t>
  </si>
  <si>
    <t>СТОЛИЧНА ОБЩИНА</t>
  </si>
  <si>
    <t>Био Суходол</t>
  </si>
  <si>
    <t>Rubin</t>
  </si>
  <si>
    <t>Био Рубин</t>
  </si>
  <si>
    <t>РУБИН 08 ООД</t>
  </si>
  <si>
    <t>Damyanitsa</t>
  </si>
  <si>
    <t>ВЕЦ Дамяница</t>
  </si>
  <si>
    <t>МЕЛО 98 ООД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</si>
</sst>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0"/>
      <name val="Arial CE"/>
      <charset val="238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4" fillId="0" borderId="0"/>
    <xf numFmtId="0" fontId="5" fillId="0" borderId="0"/>
    <xf numFmtId="0" fontId="3" fillId="0" borderId="0"/>
  </cellStyleXfs>
  <cellXfs count="15">
    <xf numFmtId="0" fontId="0" fillId="0" borderId="0" xfId="0"/>
    <xf numFmtId="0" fontId="6" fillId="0" borderId="0" xfId="7" applyFont="1"/>
    <xf numFmtId="0" fontId="6" fillId="0" borderId="0" xfId="7" applyFont="1" applyAlignment="1">
      <alignment horizontal="center"/>
    </xf>
    <xf numFmtId="0" fontId="3" fillId="0" borderId="0" xfId="7"/>
    <xf numFmtId="0" fontId="3" fillId="0" borderId="0" xfId="7" applyAlignment="1">
      <alignment horizontal="right"/>
    </xf>
    <xf numFmtId="0" fontId="3" fillId="0" borderId="0" xfId="7" applyAlignment="1">
      <alignment horizontal="center"/>
    </xf>
    <xf numFmtId="0" fontId="3" fillId="0" borderId="1" xfId="7" applyBorder="1" applyAlignment="1">
      <alignment horizontal="left"/>
    </xf>
    <xf numFmtId="0" fontId="3" fillId="0" borderId="2" xfId="7" applyBorder="1"/>
    <xf numFmtId="0" fontId="3" fillId="0" borderId="2" xfId="7" applyBorder="1" applyAlignment="1">
      <alignment horizontal="right"/>
    </xf>
    <xf numFmtId="0" fontId="3" fillId="0" borderId="1" xfId="7" applyBorder="1" applyAlignment="1">
      <alignment horizontal="center"/>
    </xf>
    <xf numFmtId="0" fontId="4" fillId="0" borderId="0" xfId="7" applyFont="1"/>
    <xf numFmtId="0" fontId="3" fillId="0" borderId="1" xfId="7" applyBorder="1" applyAlignment="1">
      <alignment horizontal="right"/>
    </xf>
    <xf numFmtId="0" fontId="2" fillId="0" borderId="0" xfId="3"/>
    <xf numFmtId="0" fontId="7" fillId="0" borderId="1" xfId="3" applyFont="1" applyBorder="1" applyAlignment="1">
      <alignment horizontal="right"/>
    </xf>
    <xf numFmtId="0" fontId="2" fillId="0" borderId="1" xfId="3" applyBorder="1"/>
  </cellXfs>
  <cellStyles count="8">
    <cellStyle name="Normal" xfId="0" builtinId="0"/>
    <cellStyle name="Normal 2" xfId="1" xr:uid="{00000000-0005-0000-0000-000001000000}"/>
    <cellStyle name="Normal 2 2" xfId="3" xr:uid="{00000000-0005-0000-0000-000002000000}"/>
    <cellStyle name="Normal 2 2 2" xfId="7" xr:uid="{5C644B55-7447-4221-8529-7D340B93B5C2}"/>
    <cellStyle name="Normal 3" xfId="4" xr:uid="{00000000-0005-0000-0000-000003000000}"/>
    <cellStyle name="Normal 5" xfId="5" xr:uid="{00000000-0005-0000-0000-000004000000}"/>
    <cellStyle name="Normal 6" xfId="6" xr:uid="{00000000-0005-0000-0000-000005000000}"/>
    <cellStyle name="normální_Main" xfId="2" xr:uid="{00000000-0005-0000-0000-000006000000}"/>
  </cellStyles>
  <dxfs count="0"/>
  <tableStyles count="0" defaultTableStyle="TableStyleMedium2" defaultPivotStyle="PivotStyleLight16"/>
  <colors>
    <mruColors>
      <color rgb="FFF24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svetan.tsonev/Downloads/WebView_no_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Gen_list"/>
      <sheetName val="Pr"/>
      <sheetName val="MUD"/>
      <sheetName val="IDM_B"/>
      <sheetName val="IDM_S"/>
      <sheetName val="Prices"/>
      <sheetName val="XE_Profil_Maker"/>
    </sheetNames>
    <sheetDataSet>
      <sheetData sheetId="0"/>
      <sheetData sheetId="1"/>
      <sheetData sheetId="2">
        <row r="3">
          <cell r="C3" t="str">
            <v>\USERS\CEZ_BG\CEZ_ELECTRO\Proizvoditeli_ESO_TEST\WebView\2021\Pr_FtEC_Topolata1</v>
          </cell>
        </row>
        <row r="4">
          <cell r="C4" t="str">
            <v>\USERS\CEZ_BG\CEZ_ELECTRO\Proizvoditeli_ESO_TEST\WebView\2021\Pr_FtEC_Topolata2</v>
          </cell>
        </row>
        <row r="5">
          <cell r="C5" t="str">
            <v>\USERS\CEZ_BG\CEZ_ELECTRO\Proizvoditeli_ESO_TEST\WebView\2021\Pr_FtEC_Lom</v>
          </cell>
        </row>
        <row r="6">
          <cell r="C6" t="str">
            <v>\USERS\CEZ_BG\CEZ_ELECTRO\Proizvoditeli_ESO_TEST\WebView\2021\Pr_FtEC_Makresh</v>
          </cell>
        </row>
        <row r="7">
          <cell r="C7" t="str">
            <v>\USERS\CEZ_BG\CEZ_ELECTRO\Proizvoditeli_ESO_TEST\WebView\2021\Pr_FtEC_SkySolar</v>
          </cell>
        </row>
        <row r="8">
          <cell r="C8" t="str">
            <v>\USERS\CEZ_BG\CEZ_ELECTRO\Proizvoditeli_ESO_TEST\WebView\2021\Pr_FtEC_Taftino3</v>
          </cell>
        </row>
        <row r="9">
          <cell r="C9" t="str">
            <v>\USERS\CEZ_BG\CEZ_ELECTRO\Proizvoditeli_ESO_TEST\WebView\2021\Pr_FtEC_Taftino2</v>
          </cell>
        </row>
        <row r="10">
          <cell r="C10" t="str">
            <v>\USERS\CEZ_BG\CEZ_ELECTRO\Proizvoditeli_ESO_TEST\WebView\2021\Pr_FtEC_SolarPlana</v>
          </cell>
        </row>
        <row r="11">
          <cell r="C11" t="str">
            <v>\USERS\CEZ_BG\CEZ_ELECTRO\Proizvoditeli_ESO_TEST\WebView\2021\Pr_FtEC_Robul</v>
          </cell>
        </row>
        <row r="14">
          <cell r="C14" t="str">
            <v>\USERS\CEZ_BG\CEZ_ELECTRO\Proizvoditeli_ESO_TEST\WebView\2021\Pr_VEC_Bistrica_A</v>
          </cell>
        </row>
        <row r="15">
          <cell r="C15" t="str">
            <v>\USERS\CEZ_BG\CEZ_ELECTRO\Proizvoditeli_ESO_TEST\WebView\2021\Pr_VEC_Studena_l1</v>
          </cell>
        </row>
        <row r="16">
          <cell r="C16" t="str">
            <v>\USERS\CEZ_BG\CEZ_ELECTRO\Proizvoditeli_ESO_TEST\WebView\2021\Pr_VEC_Studena_l2</v>
          </cell>
        </row>
        <row r="17">
          <cell r="C17" t="str">
            <v>\USERS\CEZ_BG\CEZ_ELECTRO\Proizvoditeli_ESO_TEST\WebView\2021\Pr_VEC_Chuprene1</v>
          </cell>
        </row>
        <row r="18">
          <cell r="C18" t="str">
            <v>\USERS\CEZ_BG\CEZ_ELECTRO\Proizvoditeli_ESO_TEST\WebView\2021\Pr_VEC_Damyanitsa</v>
          </cell>
        </row>
        <row r="19">
          <cell r="C19" t="str">
            <v>\USERS\CEZ_BG\CEZ_ELECTRO\Proizvoditeli_ESO_TEST\WebView\2021\Pr_BIO_Dcerovene</v>
          </cell>
        </row>
        <row r="20">
          <cell r="C20" t="str">
            <v>\USERS\CEZ_BG\CEZ_ELECTRO\Proizvoditeli_ESO_TEST\WebView\2021\Pr_BIO_Rubin</v>
          </cell>
        </row>
        <row r="21">
          <cell r="C21" t="str">
            <v>\USERS\CEZ_BG\CEZ_ELECTRO\Proizvoditeli_ESO_TEST\WebView\2021\Pr_BIO_Suhodol</v>
          </cell>
        </row>
        <row r="22">
          <cell r="C22" t="str">
            <v>\USERS\CEZ_BG\CEZ_ELECTRO\Proizvoditeli_ESO_TEST\WebView\2021\Pr_BIO_HanBogorov</v>
          </cell>
        </row>
      </sheetData>
      <sheetData sheetId="3">
        <row r="3">
          <cell r="C3" t="str">
            <v>\USERS\CEZ_BG\CEZ_ELECTRO\Proizvoditeli_ESO_TEST\WebView\2021\MUD_FtEC_Topolata1</v>
          </cell>
        </row>
        <row r="4">
          <cell r="C4" t="str">
            <v>\USERS\CEZ_BG\CEZ_ELECTRO\Proizvoditeli_ESO_TEST\WebView\2021\MUD_FtEC_Topolata2</v>
          </cell>
        </row>
        <row r="5">
          <cell r="C5" t="str">
            <v>\USERS\CEZ_BG\CEZ_ELECTRO\Proizvoditeli_ESO_TEST\WebView\2021\MUD_FtEC_Lom</v>
          </cell>
        </row>
        <row r="6">
          <cell r="C6" t="str">
            <v>\USERS\CEZ_BG\CEZ_ELECTRO\Proizvoditeli_ESO_TEST\WebView\2021\MUD_FtEC_Makresh</v>
          </cell>
        </row>
        <row r="7">
          <cell r="C7" t="str">
            <v>\USERS\CEZ_BG\CEZ_ELECTRO\Proizvoditeli_ESO_TEST\WebView\2021\MUD_FtEC_SkySolar</v>
          </cell>
        </row>
        <row r="8">
          <cell r="C8" t="str">
            <v>\USERS\CEZ_BG\CEZ_ELECTRO\Proizvoditeli_ESO_TEST\WebView\2021\MUD_FtEC_Taftino3</v>
          </cell>
        </row>
        <row r="9">
          <cell r="C9" t="str">
            <v>\USERS\CEZ_BG\CEZ_ELECTRO\Proizvoditeli_ESO_TEST\WebView\2021\MUD_FtEC_Taftino2</v>
          </cell>
        </row>
        <row r="10">
          <cell r="C10" t="str">
            <v>\USERS\CEZ_BG\CEZ_ELECTRO\Proizvoditeli_ESO_TEST\WebView\2021\MUD_FtEC_SolarPlana</v>
          </cell>
        </row>
        <row r="11">
          <cell r="C11" t="str">
            <v>\USERS\CEZ_BG\CEZ_ELECTRO\Proizvoditeli_ESO_TEST\WebView\2021\MUD_FtEC_Robul</v>
          </cell>
        </row>
        <row r="14">
          <cell r="C14" t="str">
            <v>\USERS\CEZ_BG\CEZ_ELECTRO\Proizvoditeli_ESO_TEST\WebView\2021\MUD_VEC_Bistrica_A</v>
          </cell>
        </row>
        <row r="15">
          <cell r="C15" t="str">
            <v>\USERS\CEZ_BG\CEZ_ELECTRO\Proizvoditeli_ESO_TEST\WebView\2021\MUD_VEC_Studena_l1</v>
          </cell>
        </row>
        <row r="16">
          <cell r="C16" t="str">
            <v>\USERS\CEZ_BG\CEZ_ELECTRO\Proizvoditeli_ESO_TEST\WebView\2021\MUD_VEC_Studena_l2</v>
          </cell>
        </row>
        <row r="17">
          <cell r="C17" t="str">
            <v>\USERS\CEZ_BG\CEZ_ELECTRO\Proizvoditeli_ESO_TEST\WebView\2021\MUD_VEC_Chuprene1</v>
          </cell>
        </row>
        <row r="18">
          <cell r="C18" t="str">
            <v>\USERS\CEZ_BG\CEZ_ELECTRO\Proizvoditeli_ESO_TEST\WebView\2021\MUD_VEC_Damyanitsa</v>
          </cell>
        </row>
        <row r="19">
          <cell r="C19" t="str">
            <v>\USERS\CEZ_BG\CEZ_ELECTRO\Proizvoditeli_ESO_TEST\WebView\2021\MUD_BIO_Dcerovene</v>
          </cell>
        </row>
        <row r="20">
          <cell r="C20" t="str">
            <v>\USERS\CEZ_BG\CEZ_ELECTRO\Proizvoditeli_ESO_TEST\WebView\2021\MUD_BIO_Rubin</v>
          </cell>
        </row>
        <row r="21">
          <cell r="C21" t="str">
            <v>\USERS\CEZ_BG\CEZ_ELECTRO\Proizvoditeli_ESO_TEST\WebView\2021\MUD_BIO_Suhodol</v>
          </cell>
        </row>
        <row r="22">
          <cell r="C22" t="str">
            <v>\USERS\CEZ_BG\CEZ_ELECTRO\Proizvoditeli_ESO_TEST\WebView\2021\MUD_BIO_HanBogorov</v>
          </cell>
        </row>
      </sheetData>
      <sheetData sheetId="4">
        <row r="3">
          <cell r="C3" t="str">
            <v>\USERS\CEZ_BG\CEZ_ELECTRO\Proizvoditeli_ESO_TEST\WebView\2021\IDM_B_FtEC_Topolata1</v>
          </cell>
        </row>
        <row r="4">
          <cell r="C4" t="str">
            <v>\USERS\CEZ_BG\CEZ_ELECTRO\Proizvoditeli_ESO_TEST\WebView\2021\IDM_B_FtEC_Topolata2</v>
          </cell>
        </row>
        <row r="5">
          <cell r="C5" t="str">
            <v>\USERS\CEZ_BG\CEZ_ELECTRO\Proizvoditeli_ESO_TEST\WebView\2021\IDM_B_FtEC_Lom</v>
          </cell>
        </row>
        <row r="6">
          <cell r="C6" t="str">
            <v>\USERS\CEZ_BG\CEZ_ELECTRO\Proizvoditeli_ESO_TEST\WebView\2021\IDM_B_FtEC_Makresh</v>
          </cell>
        </row>
        <row r="7">
          <cell r="C7" t="str">
            <v>\USERS\CEZ_BG\CEZ_ELECTRO\Proizvoditeli_ESO_TEST\WebView\2021\IDM_B_FtEC_SkySolar</v>
          </cell>
        </row>
        <row r="8">
          <cell r="C8" t="str">
            <v>\USERS\CEZ_BG\CEZ_ELECTRO\Proizvoditeli_ESO_TEST\WebView\2021\IDM_B_FtEC_Taftino3</v>
          </cell>
        </row>
        <row r="9">
          <cell r="C9" t="str">
            <v>\USERS\CEZ_BG\CEZ_ELECTRO\Proizvoditeli_ESO_TEST\WebView\2021\IDM_B_FtEC_Taftino2</v>
          </cell>
        </row>
        <row r="10">
          <cell r="C10" t="str">
            <v>\USERS\CEZ_BG\CEZ_ELECTRO\Proizvoditeli_ESO_TEST\WebView\2021\IDM_B_FtEC_SolarPlana</v>
          </cell>
        </row>
        <row r="11">
          <cell r="C11" t="str">
            <v>\USERS\CEZ_BG\CEZ_ELECTRO\Proizvoditeli_ESO_TEST\WebView\2021\IDM_B_FtEC_Robul</v>
          </cell>
        </row>
        <row r="14">
          <cell r="C14" t="str">
            <v>\USERS\CEZ_BG\CEZ_ELECTRO\Proizvoditeli_ESO_TEST\WebView\2021\IDM_B_VEC_Bistrica_A</v>
          </cell>
        </row>
        <row r="15">
          <cell r="C15" t="str">
            <v>\USERS\CEZ_BG\CEZ_ELECTRO\Proizvoditeli_ESO_TEST\WebView\2021\IDM_B_VEC_Studena_l1</v>
          </cell>
        </row>
        <row r="16">
          <cell r="C16" t="str">
            <v>\USERS\CEZ_BG\CEZ_ELECTRO\Proizvoditeli_ESO_TEST\WebView\2021\IDM_B_VEC_Studena_l2</v>
          </cell>
        </row>
        <row r="17">
          <cell r="C17" t="str">
            <v>\USERS\CEZ_BG\CEZ_ELECTRO\Proizvoditeli_ESO_TEST\WebView\2021\IDM_B_VEC_Chuprene1</v>
          </cell>
        </row>
        <row r="18">
          <cell r="C18" t="str">
            <v>\USERS\CEZ_BG\CEZ_ELECTRO\Proizvoditeli_ESO_TEST\WebView\2021\IDM_B_VEC_Damyanitsa</v>
          </cell>
        </row>
        <row r="19">
          <cell r="C19" t="str">
            <v>\USERS\CEZ_BG\CEZ_ELECTRO\Proizvoditeli_ESO_TEST\WebView\2021\IDM_B_BIO_Dcerovene</v>
          </cell>
        </row>
        <row r="20">
          <cell r="C20" t="str">
            <v>\USERS\CEZ_BG\CEZ_ELECTRO\Proizvoditeli_ESO_TEST\WebView\2021\IDM_B_BIO_Rubin</v>
          </cell>
        </row>
        <row r="21">
          <cell r="C21" t="str">
            <v>\USERS\CEZ_BG\CEZ_ELECTRO\Proizvoditeli_ESO_TEST\WebView\2021\IDM_B_BIO_Suhodol</v>
          </cell>
        </row>
        <row r="22">
          <cell r="C22" t="str">
            <v>\USERS\CEZ_BG\CEZ_ELECTRO\Proizvoditeli_ESO_TEST\WebView\2021\IDM_B_BIO_HanBogorov</v>
          </cell>
        </row>
      </sheetData>
      <sheetData sheetId="5">
        <row r="3">
          <cell r="C3" t="str">
            <v>\USERS\CEZ_BG\CEZ_ELECTRO\Proizvoditeli_ESO_TEST\WebView\2021\IDM_S_FtEC_Topolata1</v>
          </cell>
        </row>
        <row r="4">
          <cell r="C4" t="str">
            <v>\USERS\CEZ_BG\CEZ_ELECTRO\Proizvoditeli_ESO_TEST\WebView\2021\IDM_S_FtEC_Topolata2</v>
          </cell>
        </row>
        <row r="5">
          <cell r="C5" t="str">
            <v>\USERS\CEZ_BG\CEZ_ELECTRO\Proizvoditeli_ESO_TEST\WebView\2021\IDM_S_FtEC_Lom</v>
          </cell>
        </row>
        <row r="6">
          <cell r="C6" t="str">
            <v>\USERS\CEZ_BG\CEZ_ELECTRO\Proizvoditeli_ESO_TEST\WebView\2021\IDM_S_FtEC_Makresh</v>
          </cell>
        </row>
        <row r="7">
          <cell r="C7" t="str">
            <v>\USERS\CEZ_BG\CEZ_ELECTRO\Proizvoditeli_ESO_TEST\WebView\2021\IDM_S_FtEC_SkySolar</v>
          </cell>
        </row>
        <row r="8">
          <cell r="C8" t="str">
            <v>\USERS\CEZ_BG\CEZ_ELECTRO\Proizvoditeli_ESO_TEST\WebView\2021\IDM_S_FtEC_Taftino3</v>
          </cell>
        </row>
        <row r="9">
          <cell r="C9" t="str">
            <v>\USERS\CEZ_BG\CEZ_ELECTRO\Proizvoditeli_ESO_TEST\WebView\2021\IDM_S_FtEC_Taftino2</v>
          </cell>
        </row>
        <row r="10">
          <cell r="C10" t="str">
            <v>\USERS\CEZ_BG\CEZ_ELECTRO\Proizvoditeli_ESO_TEST\WebView\2021\IDM_S_FtEC_SolarPlana</v>
          </cell>
        </row>
        <row r="11">
          <cell r="C11" t="str">
            <v>\USERS\CEZ_BG\CEZ_ELECTRO\Proizvoditeli_ESO_TEST\WebView\2021\IDM_S_FtEC_Robul</v>
          </cell>
        </row>
        <row r="14">
          <cell r="C14" t="str">
            <v>\USERS\CEZ_BG\CEZ_ELECTRO\Proizvoditeli_ESO_TEST\WebView\2021\IDM_S_VEC_Bistrica_A</v>
          </cell>
        </row>
        <row r="15">
          <cell r="C15" t="str">
            <v>\USERS\CEZ_BG\CEZ_ELECTRO\Proizvoditeli_ESO_TEST\WebView\2021\IDM_S_VEC_Studena_l1</v>
          </cell>
        </row>
        <row r="16">
          <cell r="C16" t="str">
            <v>\USERS\CEZ_BG\CEZ_ELECTRO\Proizvoditeli_ESO_TEST\WebView\2021\IDM_S_VEC_Studena_l2</v>
          </cell>
        </row>
        <row r="17">
          <cell r="C17" t="str">
            <v>\USERS\CEZ_BG\CEZ_ELECTRO\Proizvoditeli_ESO_TEST\WebView\2021\IDM_S_VEC_Chuprene1</v>
          </cell>
        </row>
        <row r="18">
          <cell r="C18" t="str">
            <v>\USERS\CEZ_BG\CEZ_ELECTRO\Proizvoditeli_ESO_TEST\WebView\2021\IDM_S_VEC_Damyanitsa</v>
          </cell>
        </row>
        <row r="19">
          <cell r="C19" t="str">
            <v>\USERS\CEZ_BG\CEZ_ELECTRO\Proizvoditeli_ESO_TEST\WebView\2021\IDM_S_BIO_Dcerovene</v>
          </cell>
        </row>
        <row r="20">
          <cell r="C20" t="str">
            <v>\USERS\CEZ_BG\CEZ_ELECTRO\Proizvoditeli_ESO_TEST\WebView\2021\IDM_S_BIO_Rubin</v>
          </cell>
        </row>
        <row r="21">
          <cell r="C21" t="str">
            <v>\USERS\CEZ_BG\CEZ_ELECTRO\Proizvoditeli_ESO_TEST\WebView\2021\IDM_S_BIO_Suhodol</v>
          </cell>
        </row>
        <row r="22">
          <cell r="C22" t="str">
            <v>\USERS\CEZ_BG\CEZ_ELECTRO\Proizvoditeli_ESO_TEST\WebView\2021\IDM_S_BIO_HanBogorov</v>
          </cell>
        </row>
      </sheetData>
      <sheetData sheetId="6">
        <row r="3">
          <cell r="C3" t="str">
            <v>\USERS\CEZ_BG\CEZ_ELECTRO\Proizvoditeli_ESO_TEST\WebView\2021\IBEX_DAM_price</v>
          </cell>
        </row>
        <row r="4">
          <cell r="C4" t="str">
            <v>\USERS\CEZ_BG\CEZ_ELECTRO\Proizvoditeli_ESO_TEST\WebView\2021\IBEX_IDM_Buy_price</v>
          </cell>
        </row>
        <row r="5">
          <cell r="C5" t="str">
            <v>\USERS\CEZ_BG\CEZ_ELECTRO\Proizvoditeli_ESO_TEST\WebView\2021\IBEX_IDM_Sell_price</v>
          </cell>
        </row>
        <row r="6">
          <cell r="C6" t="str">
            <v>\USERS\CEZ_BG\CEZ_ELECTRO\Proizvoditeli_ESO_TEST\WebView\2021\Bal_deficit_price</v>
          </cell>
        </row>
        <row r="7">
          <cell r="C7" t="str">
            <v>\USERS\CEZ_BG\CEZ_ELECTRO\Proizvoditeli_ESO_TEST\WebView\2021\Bal_surplus_price</v>
          </cell>
        </row>
      </sheetData>
      <sheetData sheetId="7">
        <row r="1">
          <cell r="A1" t="str">
            <v>PrName</v>
          </cell>
        </row>
        <row r="2">
          <cell r="A2" t="str">
            <v>\USERS\CEZ_BG\CEZ_ELECTRO\Proizvoditeli_ESO_TEST\WebView\2021\Pr_FtEC_Topolata1</v>
          </cell>
        </row>
        <row r="3">
          <cell r="A3" t="str">
            <v>\USERS\CEZ_BG\CEZ_ELECTRO\Proizvoditeli_ESO_TEST\WebView\2021\Pr_FtEC_Topolata2</v>
          </cell>
        </row>
        <row r="4">
          <cell r="A4" t="str">
            <v>\USERS\CEZ_BG\CEZ_ELECTRO\Proizvoditeli_ESO_TEST\WebView\2021\Pr_FtEC_Lom</v>
          </cell>
        </row>
        <row r="5">
          <cell r="A5" t="str">
            <v>\USERS\CEZ_BG\CEZ_ELECTRO\Proizvoditeli_ESO_TEST\WebView\2021\Pr_FtEC_Makresh</v>
          </cell>
        </row>
        <row r="6">
          <cell r="A6" t="str">
            <v>\USERS\CEZ_BG\CEZ_ELECTRO\Proizvoditeli_ESO_TEST\WebView\2021\Pr_FtEC_SkySolar</v>
          </cell>
        </row>
        <row r="7">
          <cell r="A7" t="str">
            <v>\USERS\CEZ_BG\CEZ_ELECTRO\Proizvoditeli_ESO_TEST\WebView\2021\Pr_FtEC_Taftino3</v>
          </cell>
        </row>
        <row r="8">
          <cell r="A8" t="str">
            <v>\USERS\CEZ_BG\CEZ_ELECTRO\Proizvoditeli_ESO_TEST\WebView\2021\Pr_FtEC_Taftino2</v>
          </cell>
        </row>
        <row r="9">
          <cell r="A9" t="str">
            <v>\USERS\CEZ_BG\CEZ_ELECTRO\Proizvoditeli_ESO_TEST\WebView\2021\Pr_FtEC_SolarPlana</v>
          </cell>
        </row>
        <row r="10">
          <cell r="A10" t="str">
            <v>\USERS\CEZ_BG\CEZ_ELECTRO\Proizvoditeli_ESO_TEST\WebView\2021\Pr_FtEC_Robul</v>
          </cell>
        </row>
        <row r="11">
          <cell r="A11" t="str">
            <v>\USERS\CEZ_BG\CEZ_ELECTRO\Proizvoditeli_ESO_TEST\WebView\2021\Pr_VEC_TAS2</v>
          </cell>
        </row>
        <row r="12">
          <cell r="A12" t="str">
            <v>\USERS\CEZ_BG\CEZ_ELECTRO\Proizvoditeli_ESO_TEST\WebView\2021\Pr_VEC_TAS</v>
          </cell>
        </row>
        <row r="13">
          <cell r="A13" t="str">
            <v>\USERS\CEZ_BG\CEZ_ELECTRO\Proizvoditeli_ESO_TEST\WebView\2021\Pr_VEC_Bistrica_A</v>
          </cell>
        </row>
        <row r="14">
          <cell r="A14" t="str">
            <v>\USERS\CEZ_BG\CEZ_ELECTRO\Proizvoditeli_ESO_TEST\WebView\2021\Pr_VEC_Studena_l1</v>
          </cell>
        </row>
        <row r="15">
          <cell r="A15" t="str">
            <v>\USERS\CEZ_BG\CEZ_ELECTRO\Proizvoditeli_ESO_TEST\WebView\2021\Pr_VEC_Studena_l2</v>
          </cell>
        </row>
        <row r="16">
          <cell r="A16" t="str">
            <v>\USERS\CEZ_BG\CEZ_ELECTRO\Proizvoditeli_ESO_TEST\WebView\2021\Pr_VEC_Chuprene1</v>
          </cell>
        </row>
        <row r="17">
          <cell r="A17" t="str">
            <v>\USERS\CEZ_BG\CEZ_ELECTRO\Proizvoditeli_ESO_TEST\WebView\2021\Pr_VEC_Damyanitsa</v>
          </cell>
        </row>
        <row r="18">
          <cell r="A18" t="str">
            <v>\USERS\CEZ_BG\CEZ_ELECTRO\Proizvoditeli_ESO_TEST\WebView\2021\Pr_BIO_Dcerovene</v>
          </cell>
        </row>
        <row r="19">
          <cell r="A19" t="str">
            <v>\USERS\CEZ_BG\CEZ_ELECTRO\Proizvoditeli_ESO_TEST\WebView\2021\Pr_BIO_Rubin</v>
          </cell>
        </row>
        <row r="20">
          <cell r="A20" t="str">
            <v>\USERS\CEZ_BG\CEZ_ELECTRO\Proizvoditeli_ESO_TEST\WebView\2021\Pr_BIO_Suhodol</v>
          </cell>
        </row>
        <row r="21">
          <cell r="A21" t="str">
            <v>\USERS\CEZ_BG\CEZ_ELECTRO\Proizvoditeli_ESO_TEST\WebView\2021\Pr_BIO_HanBogorov</v>
          </cell>
        </row>
        <row r="22">
          <cell r="A22" t="str">
            <v>\USERS\CEZ_BG\CEZ_ELECTRO\Proizvoditeli_ESO_TEST\WebView\2021\MUD_FtEC_Topolata1</v>
          </cell>
        </row>
        <row r="23">
          <cell r="A23" t="str">
            <v>\USERS\CEZ_BG\CEZ_ELECTRO\Proizvoditeli_ESO_TEST\WebView\2021\MUD_FtEC_Topolata2</v>
          </cell>
        </row>
        <row r="24">
          <cell r="A24" t="str">
            <v>\USERS\CEZ_BG\CEZ_ELECTRO\Proizvoditeli_ESO_TEST\WebView\2021\MUD_FtEC_Lom</v>
          </cell>
        </row>
        <row r="25">
          <cell r="A25" t="str">
            <v>\USERS\CEZ_BG\CEZ_ELECTRO\Proizvoditeli_ESO_TEST\WebView\2021\MUD_FtEC_Makresh</v>
          </cell>
        </row>
        <row r="26">
          <cell r="A26" t="str">
            <v>\USERS\CEZ_BG\CEZ_ELECTRO\Proizvoditeli_ESO_TEST\WebView\2021\MUD_FtEC_SkySolar</v>
          </cell>
        </row>
        <row r="27">
          <cell r="A27" t="str">
            <v>\USERS\CEZ_BG\CEZ_ELECTRO\Proizvoditeli_ESO_TEST\WebView\2021\MUD_FtEC_Taftino3</v>
          </cell>
        </row>
        <row r="28">
          <cell r="A28" t="str">
            <v>\USERS\CEZ_BG\CEZ_ELECTRO\Proizvoditeli_ESO_TEST\WebView\2021\MUD_FtEC_Taftino2</v>
          </cell>
        </row>
        <row r="29">
          <cell r="A29" t="str">
            <v>\USERS\CEZ_BG\CEZ_ELECTRO\Proizvoditeli_ESO_TEST\WebView\2021\MUD_FtEC_SolarPlana</v>
          </cell>
        </row>
        <row r="30">
          <cell r="A30" t="str">
            <v>\USERS\CEZ_BG\CEZ_ELECTRO\Proizvoditeli_ESO_TEST\WebView\2021\MUD_FtEC_Robul</v>
          </cell>
        </row>
        <row r="31">
          <cell r="A31" t="str">
            <v>\USERS\CEZ_BG\CEZ_ELECTRO\Proizvoditeli_ESO_TEST\WebView\2021\MUD_VEC_TAS2</v>
          </cell>
        </row>
        <row r="32">
          <cell r="A32" t="str">
            <v>\USERS\CEZ_BG\CEZ_ELECTRO\Proizvoditeli_ESO_TEST\WebView\2021\MUD_VEC_TAS</v>
          </cell>
        </row>
        <row r="33">
          <cell r="A33" t="str">
            <v>\USERS\CEZ_BG\CEZ_ELECTRO\Proizvoditeli_ESO_TEST\WebView\2021\MUD_VEC_Bistrica_A</v>
          </cell>
        </row>
        <row r="34">
          <cell r="A34" t="str">
            <v>\USERS\CEZ_BG\CEZ_ELECTRO\Proizvoditeli_ESO_TEST\WebView\2021\MUD_VEC_Studena_l1</v>
          </cell>
        </row>
        <row r="35">
          <cell r="A35" t="str">
            <v>\USERS\CEZ_BG\CEZ_ELECTRO\Proizvoditeli_ESO_TEST\WebView\2021\MUD_VEC_Studena_l2</v>
          </cell>
        </row>
        <row r="36">
          <cell r="A36" t="str">
            <v>\USERS\CEZ_BG\CEZ_ELECTRO\Proizvoditeli_ESO_TEST\WebView\2021\MUD_VEC_Chuprene1</v>
          </cell>
        </row>
        <row r="37">
          <cell r="A37" t="str">
            <v>\USERS\CEZ_BG\CEZ_ELECTRO\Proizvoditeli_ESO_TEST\WebView\2021\MUD_VEC_Damyanitsa</v>
          </cell>
        </row>
        <row r="38">
          <cell r="A38" t="str">
            <v>\USERS\CEZ_BG\CEZ_ELECTRO\Proizvoditeli_ESO_TEST\WebView\2021\MUD_BIO_Dcerovene</v>
          </cell>
        </row>
        <row r="39">
          <cell r="A39" t="str">
            <v>\USERS\CEZ_BG\CEZ_ELECTRO\Proizvoditeli_ESO_TEST\WebView\2021\MUD_BIO_Rubin</v>
          </cell>
        </row>
        <row r="40">
          <cell r="A40" t="str">
            <v>\USERS\CEZ_BG\CEZ_ELECTRO\Proizvoditeli_ESO_TEST\WebView\2021\MUD_BIO_Suhodol</v>
          </cell>
        </row>
        <row r="41">
          <cell r="A41" t="str">
            <v>\USERS\CEZ_BG\CEZ_ELECTRO\Proizvoditeli_ESO_TEST\WebView\2021\MUD_BIO_HanBogorov</v>
          </cell>
        </row>
        <row r="42">
          <cell r="A42" t="str">
            <v>\USERS\CEZ_BG\CEZ_ELECTRO\Proizvoditeli_ESO_TEST\WebView\2021\IDM_B_FtEC_Topolata1</v>
          </cell>
        </row>
        <row r="43">
          <cell r="A43" t="str">
            <v>\USERS\CEZ_BG\CEZ_ELECTRO\Proizvoditeli_ESO_TEST\WebView\2021\IDM_B_FtEC_Topolata2</v>
          </cell>
        </row>
        <row r="44">
          <cell r="A44" t="str">
            <v>\USERS\CEZ_BG\CEZ_ELECTRO\Proizvoditeli_ESO_TEST\WebView\2021\IDM_B_FtEC_Lom</v>
          </cell>
        </row>
        <row r="45">
          <cell r="A45" t="str">
            <v>\USERS\CEZ_BG\CEZ_ELECTRO\Proizvoditeli_ESO_TEST\WebView\2021\IDM_B_FtEC_Makresh</v>
          </cell>
        </row>
        <row r="46">
          <cell r="A46" t="str">
            <v>\USERS\CEZ_BG\CEZ_ELECTRO\Proizvoditeli_ESO_TEST\WebView\2021\IDM_B_FtEC_SkySolar</v>
          </cell>
        </row>
        <row r="47">
          <cell r="A47" t="str">
            <v>\USERS\CEZ_BG\CEZ_ELECTRO\Proizvoditeli_ESO_TEST\WebView\2021\IDM_B_FtEC_Taftino3</v>
          </cell>
        </row>
        <row r="48">
          <cell r="A48" t="str">
            <v>\USERS\CEZ_BG\CEZ_ELECTRO\Proizvoditeli_ESO_TEST\WebView\2021\IDM_B_FtEC_Taftino2</v>
          </cell>
        </row>
        <row r="49">
          <cell r="A49" t="str">
            <v>\USERS\CEZ_BG\CEZ_ELECTRO\Proizvoditeli_ESO_TEST\WebView\2021\IDM_B_FtEC_SolarPlana</v>
          </cell>
        </row>
        <row r="50">
          <cell r="A50" t="str">
            <v>\USERS\CEZ_BG\CEZ_ELECTRO\Proizvoditeli_ESO_TEST\WebView\2021\IDM_B_FtEC_Robul</v>
          </cell>
        </row>
        <row r="51">
          <cell r="A51" t="str">
            <v>\USERS\CEZ_BG\CEZ_ELECTRO\Proizvoditeli_ESO_TEST\WebView\2021\IDM_B_VEC_TAS2</v>
          </cell>
        </row>
        <row r="52">
          <cell r="A52" t="str">
            <v>\USERS\CEZ_BG\CEZ_ELECTRO\Proizvoditeli_ESO_TEST\WebView\2021\IDM_B_VEC_TAS</v>
          </cell>
        </row>
        <row r="53">
          <cell r="A53" t="str">
            <v>\USERS\CEZ_BG\CEZ_ELECTRO\Proizvoditeli_ESO_TEST\WebView\2021\IDM_B_VEC_Bistrica_A</v>
          </cell>
        </row>
        <row r="54">
          <cell r="A54" t="str">
            <v>\USERS\CEZ_BG\CEZ_ELECTRO\Proizvoditeli_ESO_TEST\WebView\2021\IDM_B_VEC_Studena_l1</v>
          </cell>
        </row>
        <row r="55">
          <cell r="A55" t="str">
            <v>\USERS\CEZ_BG\CEZ_ELECTRO\Proizvoditeli_ESO_TEST\WebView\2021\IDM_B_VEC_Studena_l2</v>
          </cell>
        </row>
        <row r="56">
          <cell r="A56" t="str">
            <v>\USERS\CEZ_BG\CEZ_ELECTRO\Proizvoditeli_ESO_TEST\WebView\2021\IDM_B_VEC_Chuprene1</v>
          </cell>
        </row>
        <row r="57">
          <cell r="A57" t="str">
            <v>\USERS\CEZ_BG\CEZ_ELECTRO\Proizvoditeli_ESO_TEST\WebView\2021\IDM_B_VEC_Damyanitsa</v>
          </cell>
        </row>
        <row r="58">
          <cell r="A58" t="str">
            <v>\USERS\CEZ_BG\CEZ_ELECTRO\Proizvoditeli_ESO_TEST\WebView\2021\IDM_B_BIO_Dcerovene</v>
          </cell>
        </row>
        <row r="59">
          <cell r="A59" t="str">
            <v>\USERS\CEZ_BG\CEZ_ELECTRO\Proizvoditeli_ESO_TEST\WebView\2021\IDM_B_BIO_Rubin</v>
          </cell>
        </row>
        <row r="60">
          <cell r="A60" t="str">
            <v>\USERS\CEZ_BG\CEZ_ELECTRO\Proizvoditeli_ESO_TEST\WebView\2021\IDM_B_BIO_Suhodol</v>
          </cell>
        </row>
        <row r="61">
          <cell r="A61" t="str">
            <v>\USERS\CEZ_BG\CEZ_ELECTRO\Proizvoditeli_ESO_TEST\WebView\2021\IDM_B_BIO_HanBogorov</v>
          </cell>
        </row>
        <row r="62">
          <cell r="A62" t="str">
            <v>\USERS\CEZ_BG\CEZ_ELECTRO\Proizvoditeli_ESO_TEST\WebView\2021\IDM_S_FtEC_Topolata1</v>
          </cell>
        </row>
        <row r="63">
          <cell r="A63" t="str">
            <v>\USERS\CEZ_BG\CEZ_ELECTRO\Proizvoditeli_ESO_TEST\WebView\2021\IDM_S_FtEC_Topolata2</v>
          </cell>
        </row>
        <row r="64">
          <cell r="A64" t="str">
            <v>\USERS\CEZ_BG\CEZ_ELECTRO\Proizvoditeli_ESO_TEST\WebView\2021\IDM_S_FtEC_Lom</v>
          </cell>
        </row>
        <row r="65">
          <cell r="A65" t="str">
            <v>\USERS\CEZ_BG\CEZ_ELECTRO\Proizvoditeli_ESO_TEST\WebView\2021\IDM_S_FtEC_Makresh</v>
          </cell>
        </row>
        <row r="66">
          <cell r="A66" t="str">
            <v>\USERS\CEZ_BG\CEZ_ELECTRO\Proizvoditeli_ESO_TEST\WebView\2021\IDM_S_FtEC_SkySolar</v>
          </cell>
        </row>
        <row r="67">
          <cell r="A67" t="str">
            <v>\USERS\CEZ_BG\CEZ_ELECTRO\Proizvoditeli_ESO_TEST\WebView\2021\IDM_S_FtEC_Taftino3</v>
          </cell>
        </row>
        <row r="68">
          <cell r="A68" t="str">
            <v>\USERS\CEZ_BG\CEZ_ELECTRO\Proizvoditeli_ESO_TEST\WebView\2021\IDM_S_FtEC_Taftino2</v>
          </cell>
        </row>
        <row r="69">
          <cell r="A69" t="str">
            <v>\USERS\CEZ_BG\CEZ_ELECTRO\Proizvoditeli_ESO_TEST\WebView\2021\IDM_S_FtEC_SolarPlana</v>
          </cell>
        </row>
        <row r="70">
          <cell r="A70" t="str">
            <v>\USERS\CEZ_BG\CEZ_ELECTRO\Proizvoditeli_ESO_TEST\WebView\2021\IDM_S_FtEC_Robul</v>
          </cell>
        </row>
        <row r="71">
          <cell r="A71" t="str">
            <v>\USERS\CEZ_BG\CEZ_ELECTRO\Proizvoditeli_ESO_TEST\WebView\2021\IDM_S_VEC_TAS2</v>
          </cell>
        </row>
        <row r="72">
          <cell r="A72" t="str">
            <v>\USERS\CEZ_BG\CEZ_ELECTRO\Proizvoditeli_ESO_TEST\WebView\2021\IDM_S_VEC_TAS</v>
          </cell>
        </row>
        <row r="73">
          <cell r="A73" t="str">
            <v>\USERS\CEZ_BG\CEZ_ELECTRO\Proizvoditeli_ESO_TEST\WebView\2021\IDM_S_VEC_Bistrica_A</v>
          </cell>
        </row>
        <row r="74">
          <cell r="A74" t="str">
            <v>\USERS\CEZ_BG\CEZ_ELECTRO\Proizvoditeli_ESO_TEST\WebView\2021\IDM_S_VEC_Studena_l1</v>
          </cell>
        </row>
        <row r="75">
          <cell r="A75" t="str">
            <v>\USERS\CEZ_BG\CEZ_ELECTRO\Proizvoditeli_ESO_TEST\WebView\2021\IDM_S_VEC_Studena_l2</v>
          </cell>
        </row>
        <row r="76">
          <cell r="A76" t="str">
            <v>\USERS\CEZ_BG\CEZ_ELECTRO\Proizvoditeli_ESO_TEST\WebView\2021\IDM_S_VEC_Chuprene1</v>
          </cell>
        </row>
        <row r="77">
          <cell r="A77" t="str">
            <v>\USERS\CEZ_BG\CEZ_ELECTRO\Proizvoditeli_ESO_TEST\WebView\2021\IDM_S_VEC_Damyanitsa</v>
          </cell>
        </row>
        <row r="78">
          <cell r="A78" t="str">
            <v>\USERS\CEZ_BG\CEZ_ELECTRO\Proizvoditeli_ESO_TEST\WebView\2021\IDM_S_BIO_Dcerovene</v>
          </cell>
        </row>
        <row r="79">
          <cell r="A79" t="str">
            <v>\USERS\CEZ_BG\CEZ_ELECTRO\Proizvoditeli_ESO_TEST\WebView\2021\IDM_S_BIO_Rubin</v>
          </cell>
        </row>
        <row r="80">
          <cell r="A80" t="str">
            <v>\USERS\CEZ_BG\CEZ_ELECTRO\Proizvoditeli_ESO_TEST\WebView\2021\IDM_S_BIO_Suhodol</v>
          </cell>
        </row>
        <row r="81">
          <cell r="A81" t="str">
            <v>\USERS\CEZ_BG\CEZ_ELECTRO\Proizvoditeli_ESO_TEST\WebView\2021\IDM_S_BIO_HanBogorov</v>
          </cell>
        </row>
        <row r="82">
          <cell r="A82" t="str">
            <v>\USERS\CEZ_BG\CEZ_ELECTRO\Proizvoditeli_ESO_TEST\WebView\2021\IBEX_DAM_price</v>
          </cell>
        </row>
        <row r="83">
          <cell r="A83" t="str">
            <v>\USERS\CEZ_BG\CEZ_ELECTRO\Proizvoditeli_ESO_TEST\WebView\2021\IBEX_IDM_Buy_price</v>
          </cell>
        </row>
        <row r="84">
          <cell r="A84" t="str">
            <v>\USERS\CEZ_BG\CEZ_ELECTRO\Proizvoditeli_ESO_TEST\WebView\2021\IBEX_IDM_Sell_price</v>
          </cell>
        </row>
        <row r="85">
          <cell r="A85" t="str">
            <v>\USERS\CEZ_BG\CEZ_ELECTRO\Proizvoditeli_ESO_TEST\WebView\2021\Bal_deficit_price</v>
          </cell>
        </row>
        <row r="86">
          <cell r="A86" t="str">
            <v>\USERS\CEZ_BG\CEZ_ELECTRO\Proizvoditeli_ESO_TEST\WebView\2021\Bal_surplus_price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3DC5F-B872-4A32-9909-49A66152F015}">
  <sheetPr codeName="Sheet1"/>
  <dimension ref="B3:F201"/>
  <sheetViews>
    <sheetView showGridLines="0" tabSelected="1" workbookViewId="0">
      <pane xSplit="1" ySplit="3" topLeftCell="B88" activePane="bottomRight" state="frozen"/>
      <selection pane="topRight" activeCell="B1" sqref="B1"/>
      <selection pane="bottomLeft" activeCell="A4" sqref="A4"/>
      <selection pane="bottomRight" activeCell="E194" sqref="E194"/>
    </sheetView>
  </sheetViews>
  <sheetFormatPr defaultColWidth="9.140625" defaultRowHeight="15" x14ac:dyDescent="0.25"/>
  <cols>
    <col min="1" max="1" width="5.140625" style="3" customWidth="1"/>
    <col min="2" max="2" width="13.7109375" style="4" bestFit="1" customWidth="1"/>
    <col min="3" max="3" width="21.5703125" style="5" bestFit="1" customWidth="1"/>
    <col min="4" max="4" width="40.5703125" style="5" bestFit="1" customWidth="1"/>
    <col min="5" max="5" width="101" style="3" bestFit="1" customWidth="1"/>
    <col min="6" max="6" width="16" style="3" bestFit="1" customWidth="1"/>
    <col min="7" max="16384" width="9.140625" style="3"/>
  </cols>
  <sheetData>
    <row r="3" spans="2:6" x14ac:dyDescent="0.25">
      <c r="B3" s="1" t="s">
        <v>0</v>
      </c>
      <c r="C3" s="2" t="s">
        <v>1</v>
      </c>
      <c r="D3" s="2" t="s">
        <v>2</v>
      </c>
      <c r="E3" s="1" t="s">
        <v>3</v>
      </c>
      <c r="F3" s="1" t="s">
        <v>4</v>
      </c>
    </row>
    <row r="4" spans="2:6" x14ac:dyDescent="0.25">
      <c r="B4" s="4" t="s">
        <v>5</v>
      </c>
    </row>
    <row r="5" spans="2:6" x14ac:dyDescent="0.25">
      <c r="C5" s="6" t="s">
        <v>6</v>
      </c>
      <c r="D5" s="3" t="s">
        <v>7</v>
      </c>
      <c r="E5" s="7"/>
    </row>
    <row r="6" spans="2:6" x14ac:dyDescent="0.25">
      <c r="B6" s="8"/>
      <c r="C6" s="9"/>
      <c r="D6" s="9"/>
      <c r="E6" s="3" t="str">
        <f>[1]Pr!C3</f>
        <v>\USERS\CEZ_BG\CEZ_ELECTRO\Proizvoditeli_ESO_TEST\WebView\2021\Pr_FtEC_Topolata1</v>
      </c>
      <c r="F6" s="3" t="s">
        <v>8</v>
      </c>
    </row>
    <row r="7" spans="2:6" x14ac:dyDescent="0.25">
      <c r="B7" s="8"/>
      <c r="C7" s="9"/>
      <c r="D7" s="9"/>
      <c r="E7" s="3" t="str">
        <f>[1]MUD!C3</f>
        <v>\USERS\CEZ_BG\CEZ_ELECTRO\Proizvoditeli_ESO_TEST\WebView\2021\MUD_FtEC_Topolata1</v>
      </c>
      <c r="F7" s="3" t="s">
        <v>44</v>
      </c>
    </row>
    <row r="8" spans="2:6" x14ac:dyDescent="0.25">
      <c r="B8" s="8"/>
      <c r="C8" s="9"/>
      <c r="D8" s="9"/>
      <c r="E8" s="3" t="str">
        <f>[1]IDM_S!C3</f>
        <v>\USERS\CEZ_BG\CEZ_ELECTRO\Proizvoditeli_ESO_TEST\WebView\2021\IDM_S_FtEC_Topolata1</v>
      </c>
      <c r="F8" s="3" t="s">
        <v>9</v>
      </c>
    </row>
    <row r="9" spans="2:6" x14ac:dyDescent="0.25">
      <c r="B9" s="8"/>
      <c r="C9" s="9"/>
      <c r="D9" s="9"/>
      <c r="E9" s="3" t="str">
        <f>[1]IDM_B!C3</f>
        <v>\USERS\CEZ_BG\CEZ_ELECTRO\Proizvoditeli_ESO_TEST\WebView\2021\IDM_B_FtEC_Topolata1</v>
      </c>
      <c r="F9" s="3" t="s">
        <v>10</v>
      </c>
    </row>
    <row r="10" spans="2:6" x14ac:dyDescent="0.25">
      <c r="B10" s="8"/>
      <c r="C10" s="9"/>
      <c r="D10" s="9"/>
      <c r="E10" s="3" t="str">
        <f>[1]Prices!C3</f>
        <v>\USERS\CEZ_BG\CEZ_ELECTRO\Proizvoditeli_ESO_TEST\WebView\2021\IBEX_DAM_price</v>
      </c>
      <c r="F10" s="3" t="s">
        <v>11</v>
      </c>
    </row>
    <row r="11" spans="2:6" x14ac:dyDescent="0.25">
      <c r="B11" s="8"/>
      <c r="C11" s="9"/>
      <c r="D11" s="9"/>
      <c r="E11" s="3" t="str">
        <f>[1]Prices!C4</f>
        <v>\USERS\CEZ_BG\CEZ_ELECTRO\Proizvoditeli_ESO_TEST\WebView\2021\IBEX_IDM_Buy_price</v>
      </c>
      <c r="F11" s="3" t="s">
        <v>12</v>
      </c>
    </row>
    <row r="12" spans="2:6" x14ac:dyDescent="0.25">
      <c r="B12" s="8"/>
      <c r="C12" s="9"/>
      <c r="D12" s="9"/>
      <c r="E12" s="3" t="str">
        <f>[1]Prices!C5</f>
        <v>\USERS\CEZ_BG\CEZ_ELECTRO\Proizvoditeli_ESO_TEST\WebView\2021\IBEX_IDM_Sell_price</v>
      </c>
      <c r="F12" s="3" t="s">
        <v>13</v>
      </c>
    </row>
    <row r="13" spans="2:6" x14ac:dyDescent="0.25">
      <c r="B13" s="8"/>
      <c r="C13" s="9"/>
      <c r="D13" s="9"/>
      <c r="E13" s="3" t="str">
        <f>[1]Prices!C6</f>
        <v>\USERS\CEZ_BG\CEZ_ELECTRO\Proizvoditeli_ESO_TEST\WebView\2021\Bal_deficit_price</v>
      </c>
      <c r="F13" s="3" t="s">
        <v>14</v>
      </c>
    </row>
    <row r="14" spans="2:6" x14ac:dyDescent="0.25">
      <c r="B14" s="8"/>
      <c r="C14" s="9"/>
      <c r="D14" s="9"/>
      <c r="E14" s="3" t="str">
        <f>[1]Prices!C7</f>
        <v>\USERS\CEZ_BG\CEZ_ELECTRO\Proizvoditeli_ESO_TEST\WebView\2021\Bal_surplus_price</v>
      </c>
      <c r="F14" s="3" t="s">
        <v>15</v>
      </c>
    </row>
    <row r="15" spans="2:6" x14ac:dyDescent="0.25">
      <c r="B15" s="8"/>
      <c r="C15" s="6" t="s">
        <v>16</v>
      </c>
      <c r="D15" s="3" t="s">
        <v>43</v>
      </c>
      <c r="E15" s="7"/>
    </row>
    <row r="16" spans="2:6" x14ac:dyDescent="0.25">
      <c r="B16" s="8"/>
      <c r="C16" s="9"/>
      <c r="D16" s="9"/>
      <c r="E16" s="3" t="str">
        <f>[1]Pr!C4</f>
        <v>\USERS\CEZ_BG\CEZ_ELECTRO\Proizvoditeli_ESO_TEST\WebView\2021\Pr_FtEC_Topolata2</v>
      </c>
      <c r="F16" s="3" t="str">
        <f>F6</f>
        <v>Предварителни данни: продадени количества по прогноза Д+1</v>
      </c>
    </row>
    <row r="17" spans="2:6" x14ac:dyDescent="0.25">
      <c r="B17" s="8"/>
      <c r="C17" s="9"/>
      <c r="D17" s="9"/>
      <c r="E17" s="3" t="str">
        <f>[1]MUD!C4</f>
        <v>\USERS\CEZ_BG\CEZ_ELECTRO\Proizvoditeli_ESO_TEST\WebView\2021\MUD_FtEC_Topolata2</v>
      </c>
      <c r="F17" s="3" t="str">
        <f>F7</f>
        <v>Предварителни данни: Измерени количества</v>
      </c>
    </row>
    <row r="18" spans="2:6" x14ac:dyDescent="0.25">
      <c r="B18" s="8"/>
      <c r="C18" s="9"/>
      <c r="D18" s="9"/>
      <c r="E18" s="3" t="str">
        <f>[1]IDM_S!C4</f>
        <v>\USERS\CEZ_BG\CEZ_ELECTRO\Proizvoditeli_ESO_TEST\WebView\2021\IDM_S_FtEC_Topolata2</v>
      </c>
      <c r="F18" s="3" t="str">
        <f t="shared" ref="F18:F24" si="0">F8</f>
        <v>Предварителни данни: продадени количества на пазар ВРД</v>
      </c>
    </row>
    <row r="19" spans="2:6" x14ac:dyDescent="0.25">
      <c r="B19" s="8"/>
      <c r="C19" s="9"/>
      <c r="D19" s="9"/>
      <c r="E19" s="3" t="str">
        <f>[1]IDM_B!C4</f>
        <v>\USERS\CEZ_BG\CEZ_ELECTRO\Proizvoditeli_ESO_TEST\WebView\2021\IDM_B_FtEC_Topolata2</v>
      </c>
      <c r="F19" s="3" t="str">
        <f t="shared" si="0"/>
        <v>Предварителни данни: закупени количества на пазар ВРД</v>
      </c>
    </row>
    <row r="20" spans="2:6" x14ac:dyDescent="0.25">
      <c r="B20" s="8"/>
      <c r="C20" s="9"/>
      <c r="D20" s="9"/>
      <c r="E20" s="3" t="str">
        <f>[1]Prices!C3</f>
        <v>\USERS\CEZ_BG\CEZ_ELECTRO\Proizvoditeli_ESO_TEST\WebView\2021\IBEX_DAM_price</v>
      </c>
      <c r="F20" s="3" t="str">
        <f t="shared" si="0"/>
        <v>Предварителни данни: Борсова цена за пазар Д+1</v>
      </c>
    </row>
    <row r="21" spans="2:6" x14ac:dyDescent="0.25">
      <c r="B21" s="8"/>
      <c r="C21" s="9"/>
      <c r="D21" s="9"/>
      <c r="E21" s="3" t="str">
        <f>[1]Prices!C4</f>
        <v>\USERS\CEZ_BG\CEZ_ELECTRO\Proizvoditeli_ESO_TEST\WebView\2021\IBEX_IDM_Buy_price</v>
      </c>
      <c r="F21" s="3" t="str">
        <f t="shared" si="0"/>
        <v>Предварителни данни: Борсова цена за покупки на пазар ВРД</v>
      </c>
    </row>
    <row r="22" spans="2:6" x14ac:dyDescent="0.25">
      <c r="B22" s="8"/>
      <c r="C22" s="9"/>
      <c r="D22" s="9"/>
      <c r="E22" s="3" t="str">
        <f>[1]Prices!C5</f>
        <v>\USERS\CEZ_BG\CEZ_ELECTRO\Proizvoditeli_ESO_TEST\WebView\2021\IBEX_IDM_Sell_price</v>
      </c>
      <c r="F22" s="3" t="str">
        <f t="shared" si="0"/>
        <v>Предварителни данни: Борсова цена за продажби на пазар ВРД</v>
      </c>
    </row>
    <row r="23" spans="2:6" x14ac:dyDescent="0.25">
      <c r="B23" s="8"/>
      <c r="C23" s="9"/>
      <c r="D23" s="9"/>
      <c r="E23" s="3" t="str">
        <f>[1]Prices!C6</f>
        <v>\USERS\CEZ_BG\CEZ_ELECTRO\Proizvoditeli_ESO_TEST\WebView\2021\Bal_deficit_price</v>
      </c>
      <c r="F23" s="3" t="str">
        <f t="shared" si="0"/>
        <v>Предварителни данни: Цена на балансираща енергия за недостиг</v>
      </c>
    </row>
    <row r="24" spans="2:6" x14ac:dyDescent="0.25">
      <c r="B24" s="8"/>
      <c r="C24" s="9"/>
      <c r="D24" s="9"/>
      <c r="E24" s="3" t="str">
        <f>[1]Prices!C7</f>
        <v>\USERS\CEZ_BG\CEZ_ELECTRO\Proizvoditeli_ESO_TEST\WebView\2021\Bal_surplus_price</v>
      </c>
      <c r="F24" s="3" t="str">
        <f t="shared" si="0"/>
        <v>Предварителни данни: Цена на балансираща енергия за излишък</v>
      </c>
    </row>
    <row r="25" spans="2:6" x14ac:dyDescent="0.25">
      <c r="B25" s="8"/>
      <c r="C25" s="6" t="s">
        <v>17</v>
      </c>
      <c r="D25" s="6" t="s">
        <v>18</v>
      </c>
    </row>
    <row r="26" spans="2:6" x14ac:dyDescent="0.25">
      <c r="B26" s="8"/>
      <c r="C26" s="9"/>
      <c r="D26" s="9"/>
      <c r="E26" s="3" t="str">
        <f>[1]Pr!C6</f>
        <v>\USERS\CEZ_BG\CEZ_ELECTRO\Proizvoditeli_ESO_TEST\WebView\2021\Pr_FtEC_Makresh</v>
      </c>
      <c r="F26" s="3" t="str">
        <f>F6</f>
        <v>Предварителни данни: продадени количества по прогноза Д+1</v>
      </c>
    </row>
    <row r="27" spans="2:6" x14ac:dyDescent="0.25">
      <c r="B27" s="8"/>
      <c r="C27" s="9"/>
      <c r="D27" s="9"/>
      <c r="E27" s="3" t="str">
        <f>[1]MUD!C6</f>
        <v>\USERS\CEZ_BG\CEZ_ELECTRO\Proizvoditeli_ESO_TEST\WebView\2021\MUD_FtEC_Makresh</v>
      </c>
      <c r="F27" s="3" t="str">
        <f>F7</f>
        <v>Предварителни данни: Измерени количества</v>
      </c>
    </row>
    <row r="28" spans="2:6" x14ac:dyDescent="0.25">
      <c r="B28" s="8"/>
      <c r="C28" s="9"/>
      <c r="D28" s="9"/>
      <c r="E28" s="3" t="str">
        <f>[1]IDM_S!C6</f>
        <v>\USERS\CEZ_BG\CEZ_ELECTRO\Proizvoditeli_ESO_TEST\WebView\2021\IDM_S_FtEC_Makresh</v>
      </c>
      <c r="F28" s="3" t="str">
        <f t="shared" ref="F28:F34" si="1">F8</f>
        <v>Предварителни данни: продадени количества на пазар ВРД</v>
      </c>
    </row>
    <row r="29" spans="2:6" x14ac:dyDescent="0.25">
      <c r="B29" s="8"/>
      <c r="C29" s="9"/>
      <c r="D29" s="9"/>
      <c r="E29" s="3" t="str">
        <f>[1]IDM_B!C6</f>
        <v>\USERS\CEZ_BG\CEZ_ELECTRO\Proizvoditeli_ESO_TEST\WebView\2021\IDM_B_FtEC_Makresh</v>
      </c>
      <c r="F29" s="3" t="str">
        <f t="shared" si="1"/>
        <v>Предварителни данни: закупени количества на пазар ВРД</v>
      </c>
    </row>
    <row r="30" spans="2:6" x14ac:dyDescent="0.25">
      <c r="B30" s="8"/>
      <c r="C30" s="9"/>
      <c r="D30" s="9"/>
      <c r="E30" s="3" t="str">
        <f>[1]Prices!C3</f>
        <v>\USERS\CEZ_BG\CEZ_ELECTRO\Proizvoditeli_ESO_TEST\WebView\2021\IBEX_DAM_price</v>
      </c>
      <c r="F30" s="3" t="str">
        <f t="shared" si="1"/>
        <v>Предварителни данни: Борсова цена за пазар Д+1</v>
      </c>
    </row>
    <row r="31" spans="2:6" x14ac:dyDescent="0.25">
      <c r="B31" s="8"/>
      <c r="C31" s="9"/>
      <c r="D31" s="9"/>
      <c r="E31" s="3" t="str">
        <f>[1]Prices!C4</f>
        <v>\USERS\CEZ_BG\CEZ_ELECTRO\Proizvoditeli_ESO_TEST\WebView\2021\IBEX_IDM_Buy_price</v>
      </c>
      <c r="F31" s="3" t="str">
        <f t="shared" si="1"/>
        <v>Предварителни данни: Борсова цена за покупки на пазар ВРД</v>
      </c>
    </row>
    <row r="32" spans="2:6" x14ac:dyDescent="0.25">
      <c r="B32" s="8"/>
      <c r="C32" s="9"/>
      <c r="D32" s="9"/>
      <c r="E32" s="3" t="str">
        <f>[1]Prices!C5</f>
        <v>\USERS\CEZ_BG\CEZ_ELECTRO\Proizvoditeli_ESO_TEST\WebView\2021\IBEX_IDM_Sell_price</v>
      </c>
      <c r="F32" s="3" t="str">
        <f t="shared" si="1"/>
        <v>Предварителни данни: Борсова цена за продажби на пазар ВРД</v>
      </c>
    </row>
    <row r="33" spans="2:6" x14ac:dyDescent="0.25">
      <c r="B33" s="8"/>
      <c r="C33" s="9"/>
      <c r="D33" s="9"/>
      <c r="E33" s="3" t="str">
        <f>[1]Prices!C6</f>
        <v>\USERS\CEZ_BG\CEZ_ELECTRO\Proizvoditeli_ESO_TEST\WebView\2021\Bal_deficit_price</v>
      </c>
      <c r="F33" s="3" t="str">
        <f t="shared" si="1"/>
        <v>Предварителни данни: Цена на балансираща енергия за недостиг</v>
      </c>
    </row>
    <row r="34" spans="2:6" x14ac:dyDescent="0.25">
      <c r="B34" s="8"/>
      <c r="C34" s="9"/>
      <c r="D34" s="9"/>
      <c r="E34" s="3" t="str">
        <f>[1]Prices!C7</f>
        <v>\USERS\CEZ_BG\CEZ_ELECTRO\Proizvoditeli_ESO_TEST\WebView\2021\Bal_surplus_price</v>
      </c>
      <c r="F34" s="3" t="str">
        <f t="shared" si="1"/>
        <v>Предварителни данни: Цена на балансираща енергия за излишък</v>
      </c>
    </row>
    <row r="35" spans="2:6" x14ac:dyDescent="0.25">
      <c r="B35" s="8"/>
      <c r="C35" s="6" t="s">
        <v>19</v>
      </c>
      <c r="D35" s="6" t="s">
        <v>20</v>
      </c>
    </row>
    <row r="36" spans="2:6" x14ac:dyDescent="0.25">
      <c r="B36" s="8"/>
      <c r="C36" s="9"/>
      <c r="D36" s="9"/>
      <c r="E36" s="3" t="str">
        <f>[1]Pr!C10</f>
        <v>\USERS\CEZ_BG\CEZ_ELECTRO\Proizvoditeli_ESO_TEST\WebView\2021\Pr_FtEC_SolarPlana</v>
      </c>
      <c r="F36" s="3" t="str">
        <f>F6</f>
        <v>Предварителни данни: продадени количества по прогноза Д+1</v>
      </c>
    </row>
    <row r="37" spans="2:6" x14ac:dyDescent="0.25">
      <c r="B37" s="8"/>
      <c r="C37" s="9"/>
      <c r="D37" s="9"/>
      <c r="E37" s="3" t="str">
        <f>[1]MUD!C10</f>
        <v>\USERS\CEZ_BG\CEZ_ELECTRO\Proizvoditeli_ESO_TEST\WebView\2021\MUD_FtEC_SolarPlana</v>
      </c>
      <c r="F37" s="3" t="str">
        <f>F7</f>
        <v>Предварителни данни: Измерени количества</v>
      </c>
    </row>
    <row r="38" spans="2:6" x14ac:dyDescent="0.25">
      <c r="B38" s="8"/>
      <c r="C38" s="9"/>
      <c r="D38" s="9"/>
      <c r="E38" s="3" t="str">
        <f>[1]IDM_S!C10</f>
        <v>\USERS\CEZ_BG\CEZ_ELECTRO\Proizvoditeli_ESO_TEST\WebView\2021\IDM_S_FtEC_SolarPlana</v>
      </c>
      <c r="F38" s="3" t="str">
        <f t="shared" ref="F38:F44" si="2">F8</f>
        <v>Предварителни данни: продадени количества на пазар ВРД</v>
      </c>
    </row>
    <row r="39" spans="2:6" x14ac:dyDescent="0.25">
      <c r="B39" s="8"/>
      <c r="C39" s="9"/>
      <c r="D39" s="9"/>
      <c r="E39" s="3" t="str">
        <f>[1]IDM_B!C10</f>
        <v>\USERS\CEZ_BG\CEZ_ELECTRO\Proizvoditeli_ESO_TEST\WebView\2021\IDM_B_FtEC_SolarPlana</v>
      </c>
      <c r="F39" s="3" t="str">
        <f t="shared" si="2"/>
        <v>Предварителни данни: закупени количества на пазар ВРД</v>
      </c>
    </row>
    <row r="40" spans="2:6" x14ac:dyDescent="0.25">
      <c r="B40" s="8"/>
      <c r="C40" s="9"/>
      <c r="D40" s="9"/>
      <c r="E40" s="3" t="str">
        <f>[1]Prices!C3</f>
        <v>\USERS\CEZ_BG\CEZ_ELECTRO\Proizvoditeli_ESO_TEST\WebView\2021\IBEX_DAM_price</v>
      </c>
      <c r="F40" s="3" t="str">
        <f t="shared" si="2"/>
        <v>Предварителни данни: Борсова цена за пазар Д+1</v>
      </c>
    </row>
    <row r="41" spans="2:6" x14ac:dyDescent="0.25">
      <c r="B41" s="8"/>
      <c r="C41" s="9"/>
      <c r="D41" s="9"/>
      <c r="E41" s="3" t="str">
        <f>[1]Prices!C4</f>
        <v>\USERS\CEZ_BG\CEZ_ELECTRO\Proizvoditeli_ESO_TEST\WebView\2021\IBEX_IDM_Buy_price</v>
      </c>
      <c r="F41" s="3" t="str">
        <f t="shared" si="2"/>
        <v>Предварителни данни: Борсова цена за покупки на пазар ВРД</v>
      </c>
    </row>
    <row r="42" spans="2:6" x14ac:dyDescent="0.25">
      <c r="B42" s="8"/>
      <c r="C42" s="9"/>
      <c r="D42" s="9"/>
      <c r="E42" s="3" t="str">
        <f>[1]Prices!C5</f>
        <v>\USERS\CEZ_BG\CEZ_ELECTRO\Proizvoditeli_ESO_TEST\WebView\2021\IBEX_IDM_Sell_price</v>
      </c>
      <c r="F42" s="3" t="str">
        <f t="shared" si="2"/>
        <v>Предварителни данни: Борсова цена за продажби на пазар ВРД</v>
      </c>
    </row>
    <row r="43" spans="2:6" x14ac:dyDescent="0.25">
      <c r="B43" s="8"/>
      <c r="C43" s="9"/>
      <c r="D43" s="9"/>
      <c r="E43" s="3" t="str">
        <f>[1]Prices!C6</f>
        <v>\USERS\CEZ_BG\CEZ_ELECTRO\Proizvoditeli_ESO_TEST\WebView\2021\Bal_deficit_price</v>
      </c>
      <c r="F43" s="3" t="str">
        <f t="shared" si="2"/>
        <v>Предварителни данни: Цена на балансираща енергия за недостиг</v>
      </c>
    </row>
    <row r="44" spans="2:6" x14ac:dyDescent="0.25">
      <c r="B44" s="8"/>
      <c r="C44" s="9"/>
      <c r="D44" s="9"/>
      <c r="E44" s="3" t="str">
        <f>[1]Prices!C7</f>
        <v>\USERS\CEZ_BG\CEZ_ELECTRO\Proizvoditeli_ESO_TEST\WebView\2021\Bal_surplus_price</v>
      </c>
      <c r="F44" s="3" t="str">
        <f t="shared" si="2"/>
        <v>Предварителни данни: Цена на балансираща енергия за излишък</v>
      </c>
    </row>
    <row r="45" spans="2:6" x14ac:dyDescent="0.25">
      <c r="B45" s="8"/>
      <c r="C45" s="6" t="s">
        <v>21</v>
      </c>
      <c r="D45" s="6" t="s">
        <v>22</v>
      </c>
    </row>
    <row r="46" spans="2:6" x14ac:dyDescent="0.25">
      <c r="B46" s="8"/>
      <c r="C46" s="9"/>
      <c r="D46" s="9"/>
      <c r="E46" s="3" t="str">
        <f>[1]Pr!C7</f>
        <v>\USERS\CEZ_BG\CEZ_ELECTRO\Proizvoditeli_ESO_TEST\WebView\2021\Pr_FtEC_SkySolar</v>
      </c>
      <c r="F46" s="3" t="str">
        <f>F6</f>
        <v>Предварителни данни: продадени количества по прогноза Д+1</v>
      </c>
    </row>
    <row r="47" spans="2:6" x14ac:dyDescent="0.25">
      <c r="B47" s="8"/>
      <c r="C47" s="9"/>
      <c r="D47" s="9"/>
      <c r="E47" s="3" t="str">
        <f>[1]MUD!C7</f>
        <v>\USERS\CEZ_BG\CEZ_ELECTRO\Proizvoditeli_ESO_TEST\WebView\2021\MUD_FtEC_SkySolar</v>
      </c>
      <c r="F47" s="3" t="str">
        <f>F7</f>
        <v>Предварителни данни: Измерени количества</v>
      </c>
    </row>
    <row r="48" spans="2:6" x14ac:dyDescent="0.25">
      <c r="B48" s="8"/>
      <c r="C48" s="9"/>
      <c r="D48" s="9"/>
      <c r="E48" s="3" t="str">
        <f>[1]IDM_S!C7</f>
        <v>\USERS\CEZ_BG\CEZ_ELECTRO\Proizvoditeli_ESO_TEST\WebView\2021\IDM_S_FtEC_SkySolar</v>
      </c>
      <c r="F48" s="3" t="str">
        <f t="shared" ref="F48:F54" si="3">F8</f>
        <v>Предварителни данни: продадени количества на пазар ВРД</v>
      </c>
    </row>
    <row r="49" spans="2:6" x14ac:dyDescent="0.25">
      <c r="B49" s="8"/>
      <c r="C49" s="9"/>
      <c r="D49" s="9"/>
      <c r="E49" s="3" t="str">
        <f>[1]IDM_B!C7</f>
        <v>\USERS\CEZ_BG\CEZ_ELECTRO\Proizvoditeli_ESO_TEST\WebView\2021\IDM_B_FtEC_SkySolar</v>
      </c>
      <c r="F49" s="3" t="str">
        <f t="shared" si="3"/>
        <v>Предварителни данни: закупени количества на пазар ВРД</v>
      </c>
    </row>
    <row r="50" spans="2:6" x14ac:dyDescent="0.25">
      <c r="B50" s="8"/>
      <c r="C50" s="9"/>
      <c r="D50" s="9"/>
      <c r="E50" s="3" t="str">
        <f>[1]Prices!C3</f>
        <v>\USERS\CEZ_BG\CEZ_ELECTRO\Proizvoditeli_ESO_TEST\WebView\2021\IBEX_DAM_price</v>
      </c>
      <c r="F50" s="3" t="str">
        <f t="shared" si="3"/>
        <v>Предварителни данни: Борсова цена за пазар Д+1</v>
      </c>
    </row>
    <row r="51" spans="2:6" x14ac:dyDescent="0.25">
      <c r="B51" s="8"/>
      <c r="C51" s="9"/>
      <c r="D51" s="9"/>
      <c r="E51" s="3" t="str">
        <f>[1]Prices!C4</f>
        <v>\USERS\CEZ_BG\CEZ_ELECTRO\Proizvoditeli_ESO_TEST\WebView\2021\IBEX_IDM_Buy_price</v>
      </c>
      <c r="F51" s="3" t="str">
        <f t="shared" si="3"/>
        <v>Предварителни данни: Борсова цена за покупки на пазар ВРД</v>
      </c>
    </row>
    <row r="52" spans="2:6" x14ac:dyDescent="0.25">
      <c r="B52" s="8"/>
      <c r="C52" s="9"/>
      <c r="D52" s="9"/>
      <c r="E52" s="3" t="str">
        <f>[1]Prices!C5</f>
        <v>\USERS\CEZ_BG\CEZ_ELECTRO\Proizvoditeli_ESO_TEST\WebView\2021\IBEX_IDM_Sell_price</v>
      </c>
      <c r="F52" s="3" t="str">
        <f t="shared" si="3"/>
        <v>Предварителни данни: Борсова цена за продажби на пазар ВРД</v>
      </c>
    </row>
    <row r="53" spans="2:6" x14ac:dyDescent="0.25">
      <c r="B53" s="8"/>
      <c r="C53" s="9"/>
      <c r="D53" s="9"/>
      <c r="E53" s="3" t="str">
        <f>[1]Prices!C6</f>
        <v>\USERS\CEZ_BG\CEZ_ELECTRO\Proizvoditeli_ESO_TEST\WebView\2021\Bal_deficit_price</v>
      </c>
      <c r="F53" s="3" t="str">
        <f t="shared" si="3"/>
        <v>Предварителни данни: Цена на балансираща енергия за недостиг</v>
      </c>
    </row>
    <row r="54" spans="2:6" x14ac:dyDescent="0.25">
      <c r="B54" s="8"/>
      <c r="C54" s="9"/>
      <c r="D54" s="9"/>
      <c r="E54" s="3" t="str">
        <f>[1]Prices!C7</f>
        <v>\USERS\CEZ_BG\CEZ_ELECTRO\Proizvoditeli_ESO_TEST\WebView\2021\Bal_surplus_price</v>
      </c>
      <c r="F54" s="3" t="str">
        <f t="shared" si="3"/>
        <v>Предварителни данни: Цена на балансираща енергия за излишък</v>
      </c>
    </row>
    <row r="55" spans="2:6" x14ac:dyDescent="0.25">
      <c r="B55" s="8" t="s">
        <v>23</v>
      </c>
      <c r="C55" s="9"/>
      <c r="D55" s="9"/>
    </row>
    <row r="56" spans="2:6" x14ac:dyDescent="0.25">
      <c r="B56" s="8"/>
      <c r="C56" s="6" t="s">
        <v>24</v>
      </c>
      <c r="D56" s="6" t="s">
        <v>25</v>
      </c>
    </row>
    <row r="57" spans="2:6" x14ac:dyDescent="0.25">
      <c r="B57" s="8"/>
      <c r="C57" s="9"/>
      <c r="D57" s="9"/>
      <c r="E57" s="3" t="str">
        <f>[1]Pr!C5</f>
        <v>\USERS\CEZ_BG\CEZ_ELECTRO\Proizvoditeli_ESO_TEST\WebView\2021\Pr_FtEC_Lom</v>
      </c>
      <c r="F57" s="3" t="str">
        <f>F6</f>
        <v>Предварителни данни: продадени количества по прогноза Д+1</v>
      </c>
    </row>
    <row r="58" spans="2:6" x14ac:dyDescent="0.25">
      <c r="B58" s="8"/>
      <c r="C58" s="9"/>
      <c r="D58" s="9"/>
      <c r="E58" s="3" t="str">
        <f>[1]MUD!C5</f>
        <v>\USERS\CEZ_BG\CEZ_ELECTRO\Proizvoditeli_ESO_TEST\WebView\2021\MUD_FtEC_Lom</v>
      </c>
      <c r="F58" s="3" t="str">
        <f>F7</f>
        <v>Предварителни данни: Измерени количества</v>
      </c>
    </row>
    <row r="59" spans="2:6" x14ac:dyDescent="0.25">
      <c r="B59" s="8"/>
      <c r="C59" s="9"/>
      <c r="D59" s="9"/>
      <c r="E59" s="3" t="str">
        <f>[1]IDM_S!C5</f>
        <v>\USERS\CEZ_BG\CEZ_ELECTRO\Proizvoditeli_ESO_TEST\WebView\2021\IDM_S_FtEC_Lom</v>
      </c>
      <c r="F59" s="3" t="str">
        <f t="shared" ref="F59:F65" si="4">F8</f>
        <v>Предварителни данни: продадени количества на пазар ВРД</v>
      </c>
    </row>
    <row r="60" spans="2:6" x14ac:dyDescent="0.25">
      <c r="B60" s="8"/>
      <c r="C60" s="9"/>
      <c r="D60" s="9"/>
      <c r="E60" s="3" t="str">
        <f>[1]IDM_B!C5</f>
        <v>\USERS\CEZ_BG\CEZ_ELECTRO\Proizvoditeli_ESO_TEST\WebView\2021\IDM_B_FtEC_Lom</v>
      </c>
      <c r="F60" s="3" t="str">
        <f t="shared" si="4"/>
        <v>Предварителни данни: закупени количества на пазар ВРД</v>
      </c>
    </row>
    <row r="61" spans="2:6" x14ac:dyDescent="0.25">
      <c r="B61" s="8"/>
      <c r="C61" s="9"/>
      <c r="D61" s="9"/>
      <c r="E61" s="3" t="str">
        <f>[1]Prices!C3</f>
        <v>\USERS\CEZ_BG\CEZ_ELECTRO\Proizvoditeli_ESO_TEST\WebView\2021\IBEX_DAM_price</v>
      </c>
      <c r="F61" s="3" t="str">
        <f t="shared" si="4"/>
        <v>Предварителни данни: Борсова цена за пазар Д+1</v>
      </c>
    </row>
    <row r="62" spans="2:6" x14ac:dyDescent="0.25">
      <c r="B62" s="8"/>
      <c r="C62" s="9"/>
      <c r="D62" s="9"/>
      <c r="E62" s="3" t="str">
        <f>[1]Prices!C4</f>
        <v>\USERS\CEZ_BG\CEZ_ELECTRO\Proizvoditeli_ESO_TEST\WebView\2021\IBEX_IDM_Buy_price</v>
      </c>
      <c r="F62" s="3" t="str">
        <f t="shared" si="4"/>
        <v>Предварителни данни: Борсова цена за покупки на пазар ВРД</v>
      </c>
    </row>
    <row r="63" spans="2:6" x14ac:dyDescent="0.25">
      <c r="B63" s="8"/>
      <c r="C63" s="9"/>
      <c r="D63" s="9"/>
      <c r="E63" s="3" t="str">
        <f>[1]Prices!C5</f>
        <v>\USERS\CEZ_BG\CEZ_ELECTRO\Proizvoditeli_ESO_TEST\WebView\2021\IBEX_IDM_Sell_price</v>
      </c>
      <c r="F63" s="3" t="str">
        <f t="shared" si="4"/>
        <v>Предварителни данни: Борсова цена за продажби на пазар ВРД</v>
      </c>
    </row>
    <row r="64" spans="2:6" x14ac:dyDescent="0.25">
      <c r="B64" s="8"/>
      <c r="C64" s="9"/>
      <c r="D64" s="9"/>
      <c r="E64" s="3" t="str">
        <f>[1]Prices!C6</f>
        <v>\USERS\CEZ_BG\CEZ_ELECTRO\Proizvoditeli_ESO_TEST\WebView\2021\Bal_deficit_price</v>
      </c>
      <c r="F64" s="3" t="str">
        <f t="shared" si="4"/>
        <v>Предварителни данни: Цена на балансираща енергия за недостиг</v>
      </c>
    </row>
    <row r="65" spans="2:6" x14ac:dyDescent="0.25">
      <c r="B65" s="8"/>
      <c r="C65" s="9"/>
      <c r="D65" s="9"/>
      <c r="E65" s="3" t="str">
        <f>[1]Prices!C7</f>
        <v>\USERS\CEZ_BG\CEZ_ELECTRO\Proizvoditeli_ESO_TEST\WebView\2021\Bal_surplus_price</v>
      </c>
      <c r="F65" s="3" t="str">
        <f t="shared" si="4"/>
        <v>Предварителни данни: Цена на балансираща енергия за излишък</v>
      </c>
    </row>
    <row r="66" spans="2:6" x14ac:dyDescent="0.25">
      <c r="B66" s="8" t="s">
        <v>26</v>
      </c>
      <c r="C66" s="9"/>
      <c r="D66" s="9"/>
    </row>
    <row r="67" spans="2:6" x14ac:dyDescent="0.25">
      <c r="B67" s="8"/>
      <c r="C67" s="6" t="s">
        <v>27</v>
      </c>
      <c r="D67" s="6" t="s">
        <v>28</v>
      </c>
    </row>
    <row r="68" spans="2:6" x14ac:dyDescent="0.25">
      <c r="B68" s="8"/>
      <c r="C68" s="9"/>
      <c r="D68" s="9"/>
      <c r="E68" s="3" t="str">
        <f>[1]Pr!C9</f>
        <v>\USERS\CEZ_BG\CEZ_ELECTRO\Proizvoditeli_ESO_TEST\WebView\2021\Pr_FtEC_Taftino2</v>
      </c>
      <c r="F68" s="3" t="str">
        <f>F6</f>
        <v>Предварителни данни: продадени количества по прогноза Д+1</v>
      </c>
    </row>
    <row r="69" spans="2:6" x14ac:dyDescent="0.25">
      <c r="B69" s="8"/>
      <c r="C69" s="9"/>
      <c r="D69" s="9"/>
      <c r="E69" s="3" t="str">
        <f>[1]MUD!C9</f>
        <v>\USERS\CEZ_BG\CEZ_ELECTRO\Proizvoditeli_ESO_TEST\WebView\2021\MUD_FtEC_Taftino2</v>
      </c>
      <c r="F69" s="3" t="str">
        <f>F7</f>
        <v>Предварителни данни: Измерени количества</v>
      </c>
    </row>
    <row r="70" spans="2:6" x14ac:dyDescent="0.25">
      <c r="B70" s="8"/>
      <c r="C70" s="9"/>
      <c r="D70" s="9"/>
      <c r="E70" s="3" t="str">
        <f>[1]IDM_S!C9</f>
        <v>\USERS\CEZ_BG\CEZ_ELECTRO\Proizvoditeli_ESO_TEST\WebView\2021\IDM_S_FtEC_Taftino2</v>
      </c>
      <c r="F70" s="3" t="str">
        <f t="shared" ref="F70:F76" si="5">F8</f>
        <v>Предварителни данни: продадени количества на пазар ВРД</v>
      </c>
    </row>
    <row r="71" spans="2:6" x14ac:dyDescent="0.25">
      <c r="B71" s="8"/>
      <c r="C71" s="9"/>
      <c r="D71" s="9"/>
      <c r="E71" s="3" t="str">
        <f>[1]IDM_B!C9</f>
        <v>\USERS\CEZ_BG\CEZ_ELECTRO\Proizvoditeli_ESO_TEST\WebView\2021\IDM_B_FtEC_Taftino2</v>
      </c>
      <c r="F71" s="3" t="str">
        <f t="shared" si="5"/>
        <v>Предварителни данни: закупени количества на пазар ВРД</v>
      </c>
    </row>
    <row r="72" spans="2:6" x14ac:dyDescent="0.25">
      <c r="B72" s="8"/>
      <c r="C72" s="9"/>
      <c r="D72" s="9"/>
      <c r="E72" s="3" t="str">
        <f>[1]Prices!C3</f>
        <v>\USERS\CEZ_BG\CEZ_ELECTRO\Proizvoditeli_ESO_TEST\WebView\2021\IBEX_DAM_price</v>
      </c>
      <c r="F72" s="3" t="str">
        <f t="shared" si="5"/>
        <v>Предварителни данни: Борсова цена за пазар Д+1</v>
      </c>
    </row>
    <row r="73" spans="2:6" x14ac:dyDescent="0.25">
      <c r="B73" s="8"/>
      <c r="C73" s="9"/>
      <c r="D73" s="9"/>
      <c r="E73" s="3" t="str">
        <f>[1]Prices!C4</f>
        <v>\USERS\CEZ_BG\CEZ_ELECTRO\Proizvoditeli_ESO_TEST\WebView\2021\IBEX_IDM_Buy_price</v>
      </c>
      <c r="F73" s="3" t="str">
        <f t="shared" si="5"/>
        <v>Предварителни данни: Борсова цена за покупки на пазар ВРД</v>
      </c>
    </row>
    <row r="74" spans="2:6" x14ac:dyDescent="0.25">
      <c r="B74" s="8"/>
      <c r="C74" s="9"/>
      <c r="D74" s="9"/>
      <c r="E74" s="3" t="str">
        <f>[1]Prices!C5</f>
        <v>\USERS\CEZ_BG\CEZ_ELECTRO\Proizvoditeli_ESO_TEST\WebView\2021\IBEX_IDM_Sell_price</v>
      </c>
      <c r="F74" s="3" t="str">
        <f t="shared" si="5"/>
        <v>Предварителни данни: Борсова цена за продажби на пазар ВРД</v>
      </c>
    </row>
    <row r="75" spans="2:6" x14ac:dyDescent="0.25">
      <c r="B75" s="8"/>
      <c r="C75" s="9"/>
      <c r="D75" s="9"/>
      <c r="E75" s="3" t="str">
        <f>[1]Prices!C6</f>
        <v>\USERS\CEZ_BG\CEZ_ELECTRO\Proizvoditeli_ESO_TEST\WebView\2021\Bal_deficit_price</v>
      </c>
      <c r="F75" s="3" t="str">
        <f t="shared" si="5"/>
        <v>Предварителни данни: Цена на балансираща енергия за недостиг</v>
      </c>
    </row>
    <row r="76" spans="2:6" x14ac:dyDescent="0.25">
      <c r="B76" s="8"/>
      <c r="C76" s="9"/>
      <c r="D76" s="9"/>
      <c r="E76" s="3" t="str">
        <f>[1]Prices!C7</f>
        <v>\USERS\CEZ_BG\CEZ_ELECTRO\Proizvoditeli_ESO_TEST\WebView\2021\Bal_surplus_price</v>
      </c>
      <c r="F76" s="3" t="str">
        <f t="shared" si="5"/>
        <v>Предварителни данни: Цена на балансираща енергия за излишък</v>
      </c>
    </row>
    <row r="77" spans="2:6" x14ac:dyDescent="0.25">
      <c r="B77" s="8"/>
      <c r="C77" s="6" t="s">
        <v>29</v>
      </c>
      <c r="D77" s="6" t="s">
        <v>28</v>
      </c>
    </row>
    <row r="78" spans="2:6" x14ac:dyDescent="0.25">
      <c r="B78" s="8"/>
      <c r="C78" s="9"/>
      <c r="D78" s="9"/>
      <c r="E78" s="3" t="str">
        <f>[1]Pr!C8</f>
        <v>\USERS\CEZ_BG\CEZ_ELECTRO\Proizvoditeli_ESO_TEST\WebView\2021\Pr_FtEC_Taftino3</v>
      </c>
      <c r="F78" s="3" t="str">
        <f>F6</f>
        <v>Предварителни данни: продадени количества по прогноза Д+1</v>
      </c>
    </row>
    <row r="79" spans="2:6" x14ac:dyDescent="0.25">
      <c r="B79" s="8"/>
      <c r="C79" s="9"/>
      <c r="D79" s="9"/>
      <c r="E79" s="3" t="str">
        <f>[1]MUD!C8</f>
        <v>\USERS\CEZ_BG\CEZ_ELECTRO\Proizvoditeli_ESO_TEST\WebView\2021\MUD_FtEC_Taftino3</v>
      </c>
      <c r="F79" s="3" t="str">
        <f>F7</f>
        <v>Предварителни данни: Измерени количества</v>
      </c>
    </row>
    <row r="80" spans="2:6" x14ac:dyDescent="0.25">
      <c r="B80" s="8"/>
      <c r="C80" s="9"/>
      <c r="D80" s="9"/>
      <c r="E80" s="3" t="str">
        <f>[1]IDM_S!C8</f>
        <v>\USERS\CEZ_BG\CEZ_ELECTRO\Proizvoditeli_ESO_TEST\WebView\2021\IDM_S_FtEC_Taftino3</v>
      </c>
      <c r="F80" s="3" t="str">
        <f t="shared" ref="F80:F86" si="6">F8</f>
        <v>Предварителни данни: продадени количества на пазар ВРД</v>
      </c>
    </row>
    <row r="81" spans="2:6" x14ac:dyDescent="0.25">
      <c r="B81" s="8"/>
      <c r="C81" s="9"/>
      <c r="D81" s="9"/>
      <c r="E81" s="3" t="str">
        <f>[1]IDM_B!C8</f>
        <v>\USERS\CEZ_BG\CEZ_ELECTRO\Proizvoditeli_ESO_TEST\WebView\2021\IDM_B_FtEC_Taftino3</v>
      </c>
      <c r="F81" s="3" t="str">
        <f t="shared" si="6"/>
        <v>Предварителни данни: закупени количества на пазар ВРД</v>
      </c>
    </row>
    <row r="82" spans="2:6" x14ac:dyDescent="0.25">
      <c r="B82" s="8"/>
      <c r="C82" s="9"/>
      <c r="D82" s="9"/>
      <c r="E82" s="3" t="str">
        <f>[1]Prices!C3</f>
        <v>\USERS\CEZ_BG\CEZ_ELECTRO\Proizvoditeli_ESO_TEST\WebView\2021\IBEX_DAM_price</v>
      </c>
      <c r="F82" s="3" t="str">
        <f t="shared" si="6"/>
        <v>Предварителни данни: Борсова цена за пазар Д+1</v>
      </c>
    </row>
    <row r="83" spans="2:6" x14ac:dyDescent="0.25">
      <c r="B83" s="8"/>
      <c r="C83" s="9"/>
      <c r="D83" s="9"/>
      <c r="E83" s="3" t="str">
        <f>[1]Prices!C4</f>
        <v>\USERS\CEZ_BG\CEZ_ELECTRO\Proizvoditeli_ESO_TEST\WebView\2021\IBEX_IDM_Buy_price</v>
      </c>
      <c r="F83" s="3" t="str">
        <f t="shared" si="6"/>
        <v>Предварителни данни: Борсова цена за покупки на пазар ВРД</v>
      </c>
    </row>
    <row r="84" spans="2:6" x14ac:dyDescent="0.25">
      <c r="B84" s="8"/>
      <c r="C84" s="9"/>
      <c r="D84" s="9"/>
      <c r="E84" s="3" t="str">
        <f>[1]Prices!C5</f>
        <v>\USERS\CEZ_BG\CEZ_ELECTRO\Proizvoditeli_ESO_TEST\WebView\2021\IBEX_IDM_Sell_price</v>
      </c>
      <c r="F84" s="3" t="str">
        <f t="shared" si="6"/>
        <v>Предварителни данни: Борсова цена за продажби на пазар ВРД</v>
      </c>
    </row>
    <row r="85" spans="2:6" x14ac:dyDescent="0.25">
      <c r="B85" s="8"/>
      <c r="C85" s="9"/>
      <c r="D85" s="9"/>
      <c r="E85" s="3" t="str">
        <f>[1]Prices!C6</f>
        <v>\USERS\CEZ_BG\CEZ_ELECTRO\Proizvoditeli_ESO_TEST\WebView\2021\Bal_deficit_price</v>
      </c>
      <c r="F85" s="3" t="str">
        <f t="shared" si="6"/>
        <v>Предварителни данни: Цена на балансираща енергия за недостиг</v>
      </c>
    </row>
    <row r="86" spans="2:6" x14ac:dyDescent="0.25">
      <c r="B86" s="8"/>
      <c r="C86" s="9"/>
      <c r="D86" s="9"/>
      <c r="E86" s="3" t="str">
        <f>[1]Prices!C7</f>
        <v>\USERS\CEZ_BG\CEZ_ELECTRO\Proizvoditeli_ESO_TEST\WebView\2021\Bal_surplus_price</v>
      </c>
      <c r="F86" s="3" t="str">
        <f t="shared" si="6"/>
        <v>Предварителни данни: Цена на балансираща енергия за излишък</v>
      </c>
    </row>
    <row r="87" spans="2:6" x14ac:dyDescent="0.25">
      <c r="B87" s="8" t="s">
        <v>30</v>
      </c>
      <c r="C87" s="9"/>
      <c r="D87" s="9"/>
    </row>
    <row r="88" spans="2:6" x14ac:dyDescent="0.25">
      <c r="B88" s="8"/>
      <c r="C88" s="6" t="s">
        <v>31</v>
      </c>
      <c r="D88" s="6" t="s">
        <v>32</v>
      </c>
    </row>
    <row r="89" spans="2:6" x14ac:dyDescent="0.25">
      <c r="B89" s="8"/>
      <c r="C89" s="9"/>
      <c r="D89" s="9"/>
      <c r="E89" s="3" t="str">
        <f>[1]Pr!C17</f>
        <v>\USERS\CEZ_BG\CEZ_ELECTRO\Proizvoditeli_ESO_TEST\WebView\2021\Pr_VEC_Chuprene1</v>
      </c>
      <c r="F89" s="3" t="str">
        <f>F6</f>
        <v>Предварителни данни: продадени количества по прогноза Д+1</v>
      </c>
    </row>
    <row r="90" spans="2:6" x14ac:dyDescent="0.25">
      <c r="B90" s="8"/>
      <c r="C90" s="9"/>
      <c r="D90" s="9"/>
      <c r="E90" s="3" t="str">
        <f>[1]MUD!C17</f>
        <v>\USERS\CEZ_BG\CEZ_ELECTRO\Proizvoditeli_ESO_TEST\WebView\2021\MUD_VEC_Chuprene1</v>
      </c>
      <c r="F90" s="3" t="str">
        <f>F7</f>
        <v>Предварителни данни: Измерени количества</v>
      </c>
    </row>
    <row r="91" spans="2:6" x14ac:dyDescent="0.25">
      <c r="B91" s="8"/>
      <c r="C91" s="9"/>
      <c r="D91" s="9"/>
      <c r="E91" s="3" t="str">
        <f>[1]IDM_S!C17</f>
        <v>\USERS\CEZ_BG\CEZ_ELECTRO\Proizvoditeli_ESO_TEST\WebView\2021\IDM_S_VEC_Chuprene1</v>
      </c>
      <c r="F91" s="3" t="str">
        <f t="shared" ref="F91:F97" si="7">F8</f>
        <v>Предварителни данни: продадени количества на пазар ВРД</v>
      </c>
    </row>
    <row r="92" spans="2:6" x14ac:dyDescent="0.25">
      <c r="B92" s="8"/>
      <c r="C92" s="9"/>
      <c r="D92" s="9"/>
      <c r="E92" s="10" t="str">
        <f>[1]IDM_B!C17</f>
        <v>\USERS\CEZ_BG\CEZ_ELECTRO\Proizvoditeli_ESO_TEST\WebView\2021\IDM_B_VEC_Chuprene1</v>
      </c>
      <c r="F92" s="3" t="str">
        <f t="shared" si="7"/>
        <v>Предварителни данни: закупени количества на пазар ВРД</v>
      </c>
    </row>
    <row r="93" spans="2:6" x14ac:dyDescent="0.25">
      <c r="B93" s="8"/>
      <c r="C93" s="9"/>
      <c r="D93" s="9"/>
      <c r="E93" s="3" t="str">
        <f>[1]Prices!C3</f>
        <v>\USERS\CEZ_BG\CEZ_ELECTRO\Proizvoditeli_ESO_TEST\WebView\2021\IBEX_DAM_price</v>
      </c>
      <c r="F93" s="3" t="str">
        <f t="shared" si="7"/>
        <v>Предварителни данни: Борсова цена за пазар Д+1</v>
      </c>
    </row>
    <row r="94" spans="2:6" x14ac:dyDescent="0.25">
      <c r="B94" s="8"/>
      <c r="C94" s="9"/>
      <c r="D94" s="9"/>
      <c r="E94" s="3" t="str">
        <f>[1]Prices!C4</f>
        <v>\USERS\CEZ_BG\CEZ_ELECTRO\Proizvoditeli_ESO_TEST\WebView\2021\IBEX_IDM_Buy_price</v>
      </c>
      <c r="F94" s="3" t="str">
        <f t="shared" si="7"/>
        <v>Предварителни данни: Борсова цена за покупки на пазар ВРД</v>
      </c>
    </row>
    <row r="95" spans="2:6" x14ac:dyDescent="0.25">
      <c r="B95" s="8"/>
      <c r="C95" s="9"/>
      <c r="D95" s="9"/>
      <c r="E95" s="3" t="str">
        <f>[1]Prices!C5</f>
        <v>\USERS\CEZ_BG\CEZ_ELECTRO\Proizvoditeli_ESO_TEST\WebView\2021\IBEX_IDM_Sell_price</v>
      </c>
      <c r="F95" s="3" t="str">
        <f t="shared" si="7"/>
        <v>Предварителни данни: Борсова цена за продажби на пазар ВРД</v>
      </c>
    </row>
    <row r="96" spans="2:6" x14ac:dyDescent="0.25">
      <c r="B96" s="8"/>
      <c r="C96" s="9"/>
      <c r="D96" s="9"/>
      <c r="E96" s="3" t="str">
        <f>[1]Prices!C6</f>
        <v>\USERS\CEZ_BG\CEZ_ELECTRO\Proizvoditeli_ESO_TEST\WebView\2021\Bal_deficit_price</v>
      </c>
      <c r="F96" s="3" t="str">
        <f t="shared" si="7"/>
        <v>Предварителни данни: Цена на балансираща енергия за недостиг</v>
      </c>
    </row>
    <row r="97" spans="2:6" x14ac:dyDescent="0.25">
      <c r="B97" s="8"/>
      <c r="C97" s="9"/>
      <c r="D97" s="9"/>
      <c r="E97" s="3" t="str">
        <f>[1]Prices!C7</f>
        <v>\USERS\CEZ_BG\CEZ_ELECTRO\Proizvoditeli_ESO_TEST\WebView\2021\Bal_surplus_price</v>
      </c>
      <c r="F97" s="3" t="str">
        <f t="shared" si="7"/>
        <v>Предварителни данни: Цена на балансираща енергия за излишък</v>
      </c>
    </row>
    <row r="98" spans="2:6" x14ac:dyDescent="0.25">
      <c r="B98" s="8" t="s">
        <v>41</v>
      </c>
      <c r="C98" s="9"/>
      <c r="D98" s="9"/>
    </row>
    <row r="99" spans="2:6" x14ac:dyDescent="0.25">
      <c r="B99" s="8"/>
      <c r="C99" s="6" t="s">
        <v>33</v>
      </c>
      <c r="D99" s="6" t="s">
        <v>34</v>
      </c>
    </row>
    <row r="100" spans="2:6" x14ac:dyDescent="0.25">
      <c r="B100" s="8"/>
      <c r="C100" s="9"/>
      <c r="D100" s="6"/>
      <c r="E100" s="3" t="str">
        <f>[1]Pr!C14</f>
        <v>\USERS\CEZ_BG\CEZ_ELECTRO\Proizvoditeli_ESO_TEST\WebView\2021\Pr_VEC_Bistrica_A</v>
      </c>
      <c r="F100" s="3" t="str">
        <f>F6</f>
        <v>Предварителни данни: продадени количества по прогноза Д+1</v>
      </c>
    </row>
    <row r="101" spans="2:6" x14ac:dyDescent="0.25">
      <c r="B101" s="8"/>
      <c r="C101" s="9"/>
      <c r="D101" s="6"/>
      <c r="E101" s="3" t="str">
        <f>[1]MUD!C14</f>
        <v>\USERS\CEZ_BG\CEZ_ELECTRO\Proizvoditeli_ESO_TEST\WebView\2021\MUD_VEC_Bistrica_A</v>
      </c>
      <c r="F101" s="3" t="str">
        <f>F7</f>
        <v>Предварителни данни: Измерени количества</v>
      </c>
    </row>
    <row r="102" spans="2:6" x14ac:dyDescent="0.25">
      <c r="B102" s="8"/>
      <c r="C102" s="9"/>
      <c r="D102" s="6"/>
      <c r="E102" s="3" t="str">
        <f>[1]IDM_S!C14</f>
        <v>\USERS\CEZ_BG\CEZ_ELECTRO\Proizvoditeli_ESO_TEST\WebView\2021\IDM_S_VEC_Bistrica_A</v>
      </c>
      <c r="F102" s="3" t="str">
        <f t="shared" ref="F102:F108" si="8">F8</f>
        <v>Предварителни данни: продадени количества на пазар ВРД</v>
      </c>
    </row>
    <row r="103" spans="2:6" x14ac:dyDescent="0.25">
      <c r="B103" s="8"/>
      <c r="C103" s="9"/>
      <c r="D103" s="6"/>
      <c r="E103" s="10" t="str">
        <f>[1]IDM_B!C14</f>
        <v>\USERS\CEZ_BG\CEZ_ELECTRO\Proizvoditeli_ESO_TEST\WebView\2021\IDM_B_VEC_Bistrica_A</v>
      </c>
      <c r="F103" s="3" t="str">
        <f t="shared" si="8"/>
        <v>Предварителни данни: закупени количества на пазар ВРД</v>
      </c>
    </row>
    <row r="104" spans="2:6" x14ac:dyDescent="0.25">
      <c r="B104" s="8"/>
      <c r="C104" s="9"/>
      <c r="D104" s="6"/>
      <c r="E104" s="3" t="str">
        <f>[1]Prices!C3</f>
        <v>\USERS\CEZ_BG\CEZ_ELECTRO\Proizvoditeli_ESO_TEST\WebView\2021\IBEX_DAM_price</v>
      </c>
      <c r="F104" s="3" t="str">
        <f t="shared" si="8"/>
        <v>Предварителни данни: Борсова цена за пазар Д+1</v>
      </c>
    </row>
    <row r="105" spans="2:6" x14ac:dyDescent="0.25">
      <c r="B105" s="8"/>
      <c r="C105" s="9"/>
      <c r="D105" s="6"/>
      <c r="E105" s="3" t="str">
        <f>[1]Prices!C4</f>
        <v>\USERS\CEZ_BG\CEZ_ELECTRO\Proizvoditeli_ESO_TEST\WebView\2021\IBEX_IDM_Buy_price</v>
      </c>
      <c r="F105" s="3" t="str">
        <f t="shared" si="8"/>
        <v>Предварителни данни: Борсова цена за покупки на пазар ВРД</v>
      </c>
    </row>
    <row r="106" spans="2:6" x14ac:dyDescent="0.25">
      <c r="B106" s="8"/>
      <c r="C106" s="9"/>
      <c r="D106" s="6"/>
      <c r="E106" s="3" t="str">
        <f>[1]Prices!C5</f>
        <v>\USERS\CEZ_BG\CEZ_ELECTRO\Proizvoditeli_ESO_TEST\WebView\2021\IBEX_IDM_Sell_price</v>
      </c>
      <c r="F106" s="3" t="str">
        <f t="shared" si="8"/>
        <v>Предварителни данни: Борсова цена за продажби на пазар ВРД</v>
      </c>
    </row>
    <row r="107" spans="2:6" x14ac:dyDescent="0.25">
      <c r="B107" s="8"/>
      <c r="C107" s="9"/>
      <c r="D107" s="6"/>
      <c r="E107" s="3" t="str">
        <f>[1]Prices!C6</f>
        <v>\USERS\CEZ_BG\CEZ_ELECTRO\Proizvoditeli_ESO_TEST\WebView\2021\Bal_deficit_price</v>
      </c>
      <c r="F107" s="3" t="str">
        <f t="shared" si="8"/>
        <v>Предварителни данни: Цена на балансираща енергия за недостиг</v>
      </c>
    </row>
    <row r="108" spans="2:6" x14ac:dyDescent="0.25">
      <c r="B108" s="8"/>
      <c r="C108" s="9"/>
      <c r="D108" s="6"/>
      <c r="E108" s="3" t="str">
        <f>[1]Prices!C7</f>
        <v>\USERS\CEZ_BG\CEZ_ELECTRO\Proizvoditeli_ESO_TEST\WebView\2021\Bal_surplus_price</v>
      </c>
      <c r="F108" s="3" t="str">
        <f t="shared" si="8"/>
        <v>Предварителни данни: Цена на балансираща енергия за излишък</v>
      </c>
    </row>
    <row r="109" spans="2:6" x14ac:dyDescent="0.25">
      <c r="B109" s="8" t="s">
        <v>42</v>
      </c>
      <c r="C109" s="9"/>
      <c r="D109" s="6"/>
    </row>
    <row r="110" spans="2:6" x14ac:dyDescent="0.25">
      <c r="B110" s="8"/>
      <c r="C110" s="6" t="s">
        <v>35</v>
      </c>
      <c r="D110" s="6" t="s">
        <v>36</v>
      </c>
    </row>
    <row r="111" spans="2:6" x14ac:dyDescent="0.25">
      <c r="B111" s="8"/>
      <c r="C111" s="9"/>
      <c r="D111" s="6"/>
      <c r="E111" s="3" t="str">
        <f>[1]Pr!C19</f>
        <v>\USERS\CEZ_BG\CEZ_ELECTRO\Proizvoditeli_ESO_TEST\WebView\2021\Pr_BIO_Dcerovene</v>
      </c>
      <c r="F111" s="3" t="str">
        <f>F6</f>
        <v>Предварителни данни: продадени количества по прогноза Д+1</v>
      </c>
    </row>
    <row r="112" spans="2:6" x14ac:dyDescent="0.25">
      <c r="B112" s="8"/>
      <c r="C112" s="9"/>
      <c r="D112" s="6"/>
      <c r="E112" s="3" t="str">
        <f>[1]MUD!C19</f>
        <v>\USERS\CEZ_BG\CEZ_ELECTRO\Proizvoditeli_ESO_TEST\WebView\2021\MUD_BIO_Dcerovene</v>
      </c>
      <c r="F112" s="3" t="str">
        <f>F7</f>
        <v>Предварителни данни: Измерени количества</v>
      </c>
    </row>
    <row r="113" spans="2:6" x14ac:dyDescent="0.25">
      <c r="B113" s="8"/>
      <c r="C113" s="9"/>
      <c r="D113" s="6"/>
      <c r="E113" s="3" t="str">
        <f>[1]IDM_S!C19</f>
        <v>\USERS\CEZ_BG\CEZ_ELECTRO\Proizvoditeli_ESO_TEST\WebView\2021\IDM_S_BIO_Dcerovene</v>
      </c>
      <c r="F113" s="3" t="str">
        <f t="shared" ref="F113:F119" si="9">F8</f>
        <v>Предварителни данни: продадени количества на пазар ВРД</v>
      </c>
    </row>
    <row r="114" spans="2:6" x14ac:dyDescent="0.25">
      <c r="B114" s="8"/>
      <c r="C114" s="9"/>
      <c r="D114" s="6"/>
      <c r="E114" s="10" t="str">
        <f>[1]IDM_B!C19</f>
        <v>\USERS\CEZ_BG\CEZ_ELECTRO\Proizvoditeli_ESO_TEST\WebView\2021\IDM_B_BIO_Dcerovene</v>
      </c>
      <c r="F114" s="3" t="str">
        <f t="shared" si="9"/>
        <v>Предварителни данни: закупени количества на пазар ВРД</v>
      </c>
    </row>
    <row r="115" spans="2:6" x14ac:dyDescent="0.25">
      <c r="B115" s="8"/>
      <c r="C115" s="9"/>
      <c r="D115" s="6"/>
      <c r="E115" s="3" t="str">
        <f>[1]Prices!C3</f>
        <v>\USERS\CEZ_BG\CEZ_ELECTRO\Proizvoditeli_ESO_TEST\WebView\2021\IBEX_DAM_price</v>
      </c>
      <c r="F115" s="3" t="str">
        <f t="shared" si="9"/>
        <v>Предварителни данни: Борсова цена за пазар Д+1</v>
      </c>
    </row>
    <row r="116" spans="2:6" x14ac:dyDescent="0.25">
      <c r="B116" s="8"/>
      <c r="C116" s="9"/>
      <c r="D116" s="6"/>
      <c r="E116" s="3" t="str">
        <f>[1]Prices!C4</f>
        <v>\USERS\CEZ_BG\CEZ_ELECTRO\Proizvoditeli_ESO_TEST\WebView\2021\IBEX_IDM_Buy_price</v>
      </c>
      <c r="F116" s="3" t="str">
        <f t="shared" si="9"/>
        <v>Предварителни данни: Борсова цена за покупки на пазар ВРД</v>
      </c>
    </row>
    <row r="117" spans="2:6" x14ac:dyDescent="0.25">
      <c r="B117" s="8"/>
      <c r="C117" s="9"/>
      <c r="D117" s="6"/>
      <c r="E117" s="3" t="str">
        <f>[1]Prices!C5</f>
        <v>\USERS\CEZ_BG\CEZ_ELECTRO\Proizvoditeli_ESO_TEST\WebView\2021\IBEX_IDM_Sell_price</v>
      </c>
      <c r="F117" s="3" t="str">
        <f t="shared" si="9"/>
        <v>Предварителни данни: Борсова цена за продажби на пазар ВРД</v>
      </c>
    </row>
    <row r="118" spans="2:6" x14ac:dyDescent="0.25">
      <c r="B118" s="8"/>
      <c r="C118" s="9"/>
      <c r="D118" s="6"/>
      <c r="E118" s="3" t="str">
        <f>[1]Prices!C6</f>
        <v>\USERS\CEZ_BG\CEZ_ELECTRO\Proizvoditeli_ESO_TEST\WebView\2021\Bal_deficit_price</v>
      </c>
      <c r="F118" s="3" t="str">
        <f t="shared" si="9"/>
        <v>Предварителни данни: Цена на балансираща енергия за недостиг</v>
      </c>
    </row>
    <row r="119" spans="2:6" x14ac:dyDescent="0.25">
      <c r="B119" s="8"/>
      <c r="C119" s="9"/>
      <c r="D119" s="6"/>
      <c r="E119" s="3" t="str">
        <f>[1]Prices!C7</f>
        <v>\USERS\CEZ_BG\CEZ_ELECTRO\Proizvoditeli_ESO_TEST\WebView\2021\Bal_surplus_price</v>
      </c>
      <c r="F119" s="3" t="str">
        <f t="shared" si="9"/>
        <v>Предварителни данни: Цена на балансираща енергия за излишък</v>
      </c>
    </row>
    <row r="120" spans="2:6" x14ac:dyDescent="0.25">
      <c r="B120" s="8" t="s">
        <v>37</v>
      </c>
      <c r="C120" s="9"/>
      <c r="D120" s="6"/>
    </row>
    <row r="121" spans="2:6" x14ac:dyDescent="0.25">
      <c r="B121" s="8"/>
      <c r="C121" s="6" t="s">
        <v>38</v>
      </c>
      <c r="D121" s="6" t="s">
        <v>39</v>
      </c>
    </row>
    <row r="122" spans="2:6" x14ac:dyDescent="0.25">
      <c r="B122" s="8"/>
      <c r="C122" s="9"/>
      <c r="D122" s="9"/>
      <c r="E122" s="3" t="str">
        <f>[1]Pr!C15</f>
        <v>\USERS\CEZ_BG\CEZ_ELECTRO\Proizvoditeli_ESO_TEST\WebView\2021\Pr_VEC_Studena_l1</v>
      </c>
      <c r="F122" s="3" t="str">
        <f>F6</f>
        <v>Предварителни данни: продадени количества по прогноза Д+1</v>
      </c>
    </row>
    <row r="123" spans="2:6" x14ac:dyDescent="0.25">
      <c r="B123" s="8"/>
      <c r="C123" s="9"/>
      <c r="D123" s="9"/>
      <c r="E123" s="3" t="str">
        <f>[1]MUD!C15</f>
        <v>\USERS\CEZ_BG\CEZ_ELECTRO\Proizvoditeli_ESO_TEST\WebView\2021\MUD_VEC_Studena_l1</v>
      </c>
      <c r="F123" s="3" t="str">
        <f>F7</f>
        <v>Предварителни данни: Измерени количества</v>
      </c>
    </row>
    <row r="124" spans="2:6" x14ac:dyDescent="0.25">
      <c r="B124" s="8"/>
      <c r="C124" s="9"/>
      <c r="D124" s="9"/>
      <c r="E124" s="3" t="str">
        <f>[1]IDM_S!C15</f>
        <v>\USERS\CEZ_BG\CEZ_ELECTRO\Proizvoditeli_ESO_TEST\WebView\2021\IDM_S_VEC_Studena_l1</v>
      </c>
      <c r="F124" s="3" t="str">
        <f t="shared" ref="F124:F130" si="10">F8</f>
        <v>Предварителни данни: продадени количества на пазар ВРД</v>
      </c>
    </row>
    <row r="125" spans="2:6" x14ac:dyDescent="0.25">
      <c r="B125" s="8"/>
      <c r="C125" s="9"/>
      <c r="D125" s="9"/>
      <c r="E125" s="10" t="str">
        <f>[1]IDM_B!C15</f>
        <v>\USERS\CEZ_BG\CEZ_ELECTRO\Proizvoditeli_ESO_TEST\WebView\2021\IDM_B_VEC_Studena_l1</v>
      </c>
      <c r="F125" s="3" t="str">
        <f t="shared" si="10"/>
        <v>Предварителни данни: закупени количества на пазар ВРД</v>
      </c>
    </row>
    <row r="126" spans="2:6" x14ac:dyDescent="0.25">
      <c r="B126" s="8"/>
      <c r="C126" s="9"/>
      <c r="D126" s="9"/>
      <c r="E126" s="3" t="str">
        <f>[1]Prices!C3</f>
        <v>\USERS\CEZ_BG\CEZ_ELECTRO\Proizvoditeli_ESO_TEST\WebView\2021\IBEX_DAM_price</v>
      </c>
      <c r="F126" s="3" t="str">
        <f t="shared" si="10"/>
        <v>Предварителни данни: Борсова цена за пазар Д+1</v>
      </c>
    </row>
    <row r="127" spans="2:6" x14ac:dyDescent="0.25">
      <c r="B127" s="8"/>
      <c r="C127" s="9"/>
      <c r="D127" s="9"/>
      <c r="E127" s="3" t="str">
        <f>[1]Prices!C4</f>
        <v>\USERS\CEZ_BG\CEZ_ELECTRO\Proizvoditeli_ESO_TEST\WebView\2021\IBEX_IDM_Buy_price</v>
      </c>
      <c r="F127" s="3" t="str">
        <f t="shared" si="10"/>
        <v>Предварителни данни: Борсова цена за покупки на пазар ВРД</v>
      </c>
    </row>
    <row r="128" spans="2:6" x14ac:dyDescent="0.25">
      <c r="B128" s="8"/>
      <c r="C128" s="9"/>
      <c r="D128" s="9"/>
      <c r="E128" s="3" t="str">
        <f>[1]Prices!C5</f>
        <v>\USERS\CEZ_BG\CEZ_ELECTRO\Proizvoditeli_ESO_TEST\WebView\2021\IBEX_IDM_Sell_price</v>
      </c>
      <c r="F128" s="3" t="str">
        <f t="shared" si="10"/>
        <v>Предварителни данни: Борсова цена за продажби на пазар ВРД</v>
      </c>
    </row>
    <row r="129" spans="2:6" x14ac:dyDescent="0.25">
      <c r="B129" s="8"/>
      <c r="C129" s="9"/>
      <c r="D129" s="9"/>
      <c r="E129" s="3" t="str">
        <f>[1]Prices!C6</f>
        <v>\USERS\CEZ_BG\CEZ_ELECTRO\Proizvoditeli_ESO_TEST\WebView\2021\Bal_deficit_price</v>
      </c>
      <c r="F129" s="3" t="str">
        <f t="shared" si="10"/>
        <v>Предварителни данни: Цена на балансираща енергия за недостиг</v>
      </c>
    </row>
    <row r="130" spans="2:6" x14ac:dyDescent="0.25">
      <c r="B130" s="8"/>
      <c r="C130" s="9"/>
      <c r="D130" s="9"/>
      <c r="E130" s="3" t="str">
        <f>[1]Prices!C7</f>
        <v>\USERS\CEZ_BG\CEZ_ELECTRO\Proizvoditeli_ESO_TEST\WebView\2021\Bal_surplus_price</v>
      </c>
      <c r="F130" s="3" t="str">
        <f t="shared" si="10"/>
        <v>Предварителни данни: Цена на балансираща енергия за излишък</v>
      </c>
    </row>
    <row r="131" spans="2:6" x14ac:dyDescent="0.25">
      <c r="B131" s="8"/>
      <c r="C131" s="6" t="s">
        <v>40</v>
      </c>
      <c r="D131" s="6" t="s">
        <v>39</v>
      </c>
    </row>
    <row r="132" spans="2:6" x14ac:dyDescent="0.25">
      <c r="B132" s="8"/>
      <c r="C132" s="9"/>
      <c r="D132" s="9"/>
      <c r="E132" s="3" t="str">
        <f>[1]Pr!C16</f>
        <v>\USERS\CEZ_BG\CEZ_ELECTRO\Proizvoditeli_ESO_TEST\WebView\2021\Pr_VEC_Studena_l2</v>
      </c>
      <c r="F132" s="3" t="str">
        <f>F6</f>
        <v>Предварителни данни: продадени количества по прогноза Д+1</v>
      </c>
    </row>
    <row r="133" spans="2:6" x14ac:dyDescent="0.25">
      <c r="B133" s="8"/>
      <c r="C133" s="9"/>
      <c r="D133" s="9"/>
      <c r="E133" s="3" t="str">
        <f>[1]MUD!C16</f>
        <v>\USERS\CEZ_BG\CEZ_ELECTRO\Proizvoditeli_ESO_TEST\WebView\2021\MUD_VEC_Studena_l2</v>
      </c>
      <c r="F133" s="3" t="str">
        <f>F7</f>
        <v>Предварителни данни: Измерени количества</v>
      </c>
    </row>
    <row r="134" spans="2:6" x14ac:dyDescent="0.25">
      <c r="B134" s="8"/>
      <c r="C134" s="9"/>
      <c r="D134" s="9"/>
      <c r="E134" s="3" t="str">
        <f>[1]IDM_S!C16</f>
        <v>\USERS\CEZ_BG\CEZ_ELECTRO\Proizvoditeli_ESO_TEST\WebView\2021\IDM_S_VEC_Studena_l2</v>
      </c>
      <c r="F134" s="3" t="str">
        <f t="shared" ref="F134:F140" si="11">F8</f>
        <v>Предварителни данни: продадени количества на пазар ВРД</v>
      </c>
    </row>
    <row r="135" spans="2:6" x14ac:dyDescent="0.25">
      <c r="B135" s="8"/>
      <c r="C135" s="9"/>
      <c r="D135" s="9"/>
      <c r="E135" s="10" t="str">
        <f>[1]IDM_B!C16</f>
        <v>\USERS\CEZ_BG\CEZ_ELECTRO\Proizvoditeli_ESO_TEST\WebView\2021\IDM_B_VEC_Studena_l2</v>
      </c>
      <c r="F135" s="3" t="str">
        <f t="shared" si="11"/>
        <v>Предварителни данни: закупени количества на пазар ВРД</v>
      </c>
    </row>
    <row r="136" spans="2:6" x14ac:dyDescent="0.25">
      <c r="B136" s="8"/>
      <c r="C136" s="9"/>
      <c r="D136" s="9"/>
      <c r="E136" s="3" t="str">
        <f>[1]Prices!C3</f>
        <v>\USERS\CEZ_BG\CEZ_ELECTRO\Proizvoditeli_ESO_TEST\WebView\2021\IBEX_DAM_price</v>
      </c>
      <c r="F136" s="3" t="str">
        <f t="shared" si="11"/>
        <v>Предварителни данни: Борсова цена за пазар Д+1</v>
      </c>
    </row>
    <row r="137" spans="2:6" x14ac:dyDescent="0.25">
      <c r="B137" s="8"/>
      <c r="C137" s="9"/>
      <c r="D137" s="9"/>
      <c r="E137" s="3" t="str">
        <f>[1]Prices!C4</f>
        <v>\USERS\CEZ_BG\CEZ_ELECTRO\Proizvoditeli_ESO_TEST\WebView\2021\IBEX_IDM_Buy_price</v>
      </c>
      <c r="F137" s="3" t="str">
        <f t="shared" si="11"/>
        <v>Предварителни данни: Борсова цена за покупки на пазар ВРД</v>
      </c>
    </row>
    <row r="138" spans="2:6" x14ac:dyDescent="0.25">
      <c r="B138" s="8"/>
      <c r="C138" s="9"/>
      <c r="D138" s="9"/>
      <c r="E138" s="3" t="str">
        <f>[1]Prices!C5</f>
        <v>\USERS\CEZ_BG\CEZ_ELECTRO\Proizvoditeli_ESO_TEST\WebView\2021\IBEX_IDM_Sell_price</v>
      </c>
      <c r="F138" s="3" t="str">
        <f t="shared" si="11"/>
        <v>Предварителни данни: Борсова цена за продажби на пазар ВРД</v>
      </c>
    </row>
    <row r="139" spans="2:6" x14ac:dyDescent="0.25">
      <c r="B139" s="8"/>
      <c r="C139" s="9"/>
      <c r="D139" s="9"/>
      <c r="E139" s="3" t="str">
        <f>[1]Prices!C6</f>
        <v>\USERS\CEZ_BG\CEZ_ELECTRO\Proizvoditeli_ESO_TEST\WebView\2021\Bal_deficit_price</v>
      </c>
      <c r="F139" s="3" t="str">
        <f t="shared" si="11"/>
        <v>Предварителни данни: Цена на балансираща енергия за недостиг</v>
      </c>
    </row>
    <row r="140" spans="2:6" x14ac:dyDescent="0.25">
      <c r="B140" s="8"/>
      <c r="C140" s="9"/>
      <c r="D140" s="9"/>
      <c r="E140" s="3" t="str">
        <f>[1]Prices!C7</f>
        <v>\USERS\CEZ_BG\CEZ_ELECTRO\Proizvoditeli_ESO_TEST\WebView\2021\Bal_surplus_price</v>
      </c>
      <c r="F140" s="3" t="str">
        <f t="shared" si="11"/>
        <v>Предварителни данни: Цена на балансираща енергия за излишък</v>
      </c>
    </row>
    <row r="141" spans="2:6" x14ac:dyDescent="0.25">
      <c r="B141" s="8" t="s">
        <v>45</v>
      </c>
      <c r="C141" s="9"/>
      <c r="D141" s="9"/>
    </row>
    <row r="142" spans="2:6" x14ac:dyDescent="0.25">
      <c r="B142" s="8"/>
      <c r="C142" s="6" t="s">
        <v>46</v>
      </c>
      <c r="D142" s="6" t="s">
        <v>47</v>
      </c>
    </row>
    <row r="143" spans="2:6" x14ac:dyDescent="0.25">
      <c r="B143" s="8"/>
      <c r="C143" s="9"/>
      <c r="D143" s="9"/>
      <c r="E143" s="3" t="str">
        <f>[1]Pr!C11</f>
        <v>\USERS\CEZ_BG\CEZ_ELECTRO\Proizvoditeli_ESO_TEST\WebView\2021\Pr_FtEC_Robul</v>
      </c>
      <c r="F143" s="3" t="str">
        <f>F6</f>
        <v>Предварителни данни: продадени количества по прогноза Д+1</v>
      </c>
    </row>
    <row r="144" spans="2:6" x14ac:dyDescent="0.25">
      <c r="B144" s="8"/>
      <c r="C144" s="9"/>
      <c r="D144" s="9"/>
      <c r="E144" s="3" t="str">
        <f>[1]MUD!C11</f>
        <v>\USERS\CEZ_BG\CEZ_ELECTRO\Proizvoditeli_ESO_TEST\WebView\2021\MUD_FtEC_Robul</v>
      </c>
      <c r="F144" s="3" t="str">
        <f t="shared" ref="F144:F151" si="12">F7</f>
        <v>Предварителни данни: Измерени количества</v>
      </c>
    </row>
    <row r="145" spans="2:6" x14ac:dyDescent="0.25">
      <c r="B145" s="8"/>
      <c r="C145" s="9"/>
      <c r="D145" s="9"/>
      <c r="E145" s="3" t="str">
        <f>[1]IDM_S!C11</f>
        <v>\USERS\CEZ_BG\CEZ_ELECTRO\Proizvoditeli_ESO_TEST\WebView\2021\IDM_S_FtEC_Robul</v>
      </c>
      <c r="F145" s="3" t="str">
        <f t="shared" si="12"/>
        <v>Предварителни данни: продадени количества на пазар ВРД</v>
      </c>
    </row>
    <row r="146" spans="2:6" x14ac:dyDescent="0.25">
      <c r="B146" s="8"/>
      <c r="C146" s="9"/>
      <c r="D146" s="9"/>
      <c r="E146" s="3" t="str">
        <f>[1]IDM_B!C11</f>
        <v>\USERS\CEZ_BG\CEZ_ELECTRO\Proizvoditeli_ESO_TEST\WebView\2021\IDM_B_FtEC_Robul</v>
      </c>
      <c r="F146" s="3" t="str">
        <f t="shared" si="12"/>
        <v>Предварителни данни: закупени количества на пазар ВРД</v>
      </c>
    </row>
    <row r="147" spans="2:6" x14ac:dyDescent="0.25">
      <c r="B147" s="11"/>
      <c r="C147" s="9"/>
      <c r="D147" s="9"/>
      <c r="E147" s="3" t="str">
        <f>[1]Prices!C3</f>
        <v>\USERS\CEZ_BG\CEZ_ELECTRO\Proizvoditeli_ESO_TEST\WebView\2021\IBEX_DAM_price</v>
      </c>
      <c r="F147" s="3" t="str">
        <f t="shared" si="12"/>
        <v>Предварителни данни: Борсова цена за пазар Д+1</v>
      </c>
    </row>
    <row r="148" spans="2:6" x14ac:dyDescent="0.25">
      <c r="B148" s="11"/>
      <c r="C148" s="9"/>
      <c r="D148" s="9"/>
      <c r="E148" s="3" t="str">
        <f>[1]Prices!C4</f>
        <v>\USERS\CEZ_BG\CEZ_ELECTRO\Proizvoditeli_ESO_TEST\WebView\2021\IBEX_IDM_Buy_price</v>
      </c>
      <c r="F148" s="3" t="str">
        <f t="shared" si="12"/>
        <v>Предварителни данни: Борсова цена за покупки на пазар ВРД</v>
      </c>
    </row>
    <row r="149" spans="2:6" x14ac:dyDescent="0.25">
      <c r="B149" s="11"/>
      <c r="C149" s="9"/>
      <c r="D149" s="9"/>
      <c r="E149" s="3" t="str">
        <f>[1]Prices!C5</f>
        <v>\USERS\CEZ_BG\CEZ_ELECTRO\Proizvoditeli_ESO_TEST\WebView\2021\IBEX_IDM_Sell_price</v>
      </c>
      <c r="F149" s="3" t="str">
        <f t="shared" si="12"/>
        <v>Предварителни данни: Борсова цена за продажби на пазар ВРД</v>
      </c>
    </row>
    <row r="150" spans="2:6" x14ac:dyDescent="0.25">
      <c r="B150" s="11"/>
      <c r="C150" s="9"/>
      <c r="D150" s="9"/>
      <c r="E150" s="3" t="str">
        <f>[1]Prices!C6</f>
        <v>\USERS\CEZ_BG\CEZ_ELECTRO\Proizvoditeli_ESO_TEST\WebView\2021\Bal_deficit_price</v>
      </c>
      <c r="F150" s="3" t="str">
        <f t="shared" si="12"/>
        <v>Предварителни данни: Цена на балансираща енергия за недостиг</v>
      </c>
    </row>
    <row r="151" spans="2:6" x14ac:dyDescent="0.25">
      <c r="B151" s="11"/>
      <c r="C151" s="9"/>
      <c r="D151" s="9"/>
      <c r="E151" s="3" t="str">
        <f>[1]Prices!C7</f>
        <v>\USERS\CEZ_BG\CEZ_ELECTRO\Proizvoditeli_ESO_TEST\WebView\2021\Bal_surplus_price</v>
      </c>
      <c r="F151" s="3" t="str">
        <f t="shared" si="12"/>
        <v>Предварителни данни: Цена на балансираща енергия за излишък</v>
      </c>
    </row>
    <row r="152" spans="2:6" x14ac:dyDescent="0.25">
      <c r="B152" s="11" t="s">
        <v>48</v>
      </c>
      <c r="C152" s="9"/>
      <c r="D152" s="9"/>
    </row>
    <row r="153" spans="2:6" x14ac:dyDescent="0.25">
      <c r="B153" s="11"/>
      <c r="C153" s="6" t="s">
        <v>49</v>
      </c>
      <c r="D153" s="6" t="s">
        <v>50</v>
      </c>
    </row>
    <row r="154" spans="2:6" x14ac:dyDescent="0.25">
      <c r="B154" s="11"/>
      <c r="C154" s="9"/>
      <c r="D154" s="9"/>
      <c r="E154" s="3" t="str">
        <f>[1]Pr!C22</f>
        <v>\USERS\CEZ_BG\CEZ_ELECTRO\Proizvoditeli_ESO_TEST\WebView\2021\Pr_BIO_HanBogorov</v>
      </c>
      <c r="F154" s="3" t="str">
        <f>F6</f>
        <v>Предварителни данни: продадени количества по прогноза Д+1</v>
      </c>
    </row>
    <row r="155" spans="2:6" x14ac:dyDescent="0.25">
      <c r="B155" s="11"/>
      <c r="C155" s="9"/>
      <c r="D155" s="9"/>
      <c r="E155" s="3" t="str">
        <f>[1]MUD!C22</f>
        <v>\USERS\CEZ_BG\CEZ_ELECTRO\Proizvoditeli_ESO_TEST\WebView\2021\MUD_BIO_HanBogorov</v>
      </c>
      <c r="F155" s="3" t="str">
        <f t="shared" ref="F155:F162" si="13">F7</f>
        <v>Предварителни данни: Измерени количества</v>
      </c>
    </row>
    <row r="156" spans="2:6" x14ac:dyDescent="0.25">
      <c r="B156" s="11"/>
      <c r="C156" s="9"/>
      <c r="D156" s="9"/>
      <c r="E156" s="3" t="str">
        <f>[1]IDM_S!C22</f>
        <v>\USERS\CEZ_BG\CEZ_ELECTRO\Proizvoditeli_ESO_TEST\WebView\2021\IDM_S_BIO_HanBogorov</v>
      </c>
      <c r="F156" s="3" t="str">
        <f t="shared" si="13"/>
        <v>Предварителни данни: продадени количества на пазар ВРД</v>
      </c>
    </row>
    <row r="157" spans="2:6" x14ac:dyDescent="0.25">
      <c r="B157" s="11"/>
      <c r="C157" s="9"/>
      <c r="D157" s="9"/>
      <c r="E157" s="3" t="str">
        <f>[1]IDM_B!C22</f>
        <v>\USERS\CEZ_BG\CEZ_ELECTRO\Proizvoditeli_ESO_TEST\WebView\2021\IDM_B_BIO_HanBogorov</v>
      </c>
      <c r="F157" s="3" t="str">
        <f t="shared" si="13"/>
        <v>Предварителни данни: закупени количества на пазар ВРД</v>
      </c>
    </row>
    <row r="158" spans="2:6" x14ac:dyDescent="0.25">
      <c r="B158" s="11"/>
      <c r="C158" s="9"/>
      <c r="D158" s="9"/>
      <c r="E158" s="3" t="str">
        <f>[1]Prices!C3</f>
        <v>\USERS\CEZ_BG\CEZ_ELECTRO\Proizvoditeli_ESO_TEST\WebView\2021\IBEX_DAM_price</v>
      </c>
      <c r="F158" s="3" t="str">
        <f t="shared" si="13"/>
        <v>Предварителни данни: Борсова цена за пазар Д+1</v>
      </c>
    </row>
    <row r="159" spans="2:6" x14ac:dyDescent="0.25">
      <c r="B159" s="11"/>
      <c r="C159" s="9"/>
      <c r="D159" s="9"/>
      <c r="E159" s="3" t="str">
        <f>[1]Prices!C4</f>
        <v>\USERS\CEZ_BG\CEZ_ELECTRO\Proizvoditeli_ESO_TEST\WebView\2021\IBEX_IDM_Buy_price</v>
      </c>
      <c r="F159" s="3" t="str">
        <f t="shared" si="13"/>
        <v>Предварителни данни: Борсова цена за покупки на пазар ВРД</v>
      </c>
    </row>
    <row r="160" spans="2:6" x14ac:dyDescent="0.25">
      <c r="B160" s="11"/>
      <c r="C160" s="9"/>
      <c r="D160" s="9"/>
      <c r="E160" s="3" t="str">
        <f>[1]Prices!C5</f>
        <v>\USERS\CEZ_BG\CEZ_ELECTRO\Proizvoditeli_ESO_TEST\WebView\2021\IBEX_IDM_Sell_price</v>
      </c>
      <c r="F160" s="3" t="str">
        <f t="shared" si="13"/>
        <v>Предварителни данни: Борсова цена за продажби на пазар ВРД</v>
      </c>
    </row>
    <row r="161" spans="2:6" x14ac:dyDescent="0.25">
      <c r="B161" s="11"/>
      <c r="C161" s="9"/>
      <c r="D161" s="9"/>
      <c r="E161" s="3" t="str">
        <f>[1]Prices!C6</f>
        <v>\USERS\CEZ_BG\CEZ_ELECTRO\Proizvoditeli_ESO_TEST\WebView\2021\Bal_deficit_price</v>
      </c>
      <c r="F161" s="3" t="str">
        <f t="shared" si="13"/>
        <v>Предварителни данни: Цена на балансираща енергия за недостиг</v>
      </c>
    </row>
    <row r="162" spans="2:6" x14ac:dyDescent="0.25">
      <c r="B162" s="11"/>
      <c r="C162" s="9"/>
      <c r="D162" s="9"/>
      <c r="E162" s="3" t="str">
        <f>[1]Prices!C7</f>
        <v>\USERS\CEZ_BG\CEZ_ELECTRO\Proizvoditeli_ESO_TEST\WebView\2021\Bal_surplus_price</v>
      </c>
      <c r="F162" s="3" t="str">
        <f t="shared" si="13"/>
        <v>Предварителни данни: Цена на балансираща енергия за излишък</v>
      </c>
    </row>
    <row r="163" spans="2:6" x14ac:dyDescent="0.25">
      <c r="B163" s="11"/>
      <c r="C163" s="6" t="s">
        <v>51</v>
      </c>
      <c r="D163" s="6" t="s">
        <v>50</v>
      </c>
    </row>
    <row r="164" spans="2:6" x14ac:dyDescent="0.25">
      <c r="B164" s="11"/>
      <c r="C164" s="9"/>
      <c r="D164" s="9"/>
      <c r="E164" s="3" t="str">
        <f>[1]Pr!C21</f>
        <v>\USERS\CEZ_BG\CEZ_ELECTRO\Proizvoditeli_ESO_TEST\WebView\2021\Pr_BIO_Suhodol</v>
      </c>
      <c r="F164" s="3" t="str">
        <f>F6</f>
        <v>Предварителни данни: продадени количества по прогноза Д+1</v>
      </c>
    </row>
    <row r="165" spans="2:6" x14ac:dyDescent="0.25">
      <c r="B165" s="11"/>
      <c r="C165" s="9"/>
      <c r="D165" s="9"/>
      <c r="E165" s="3" t="str">
        <f>[1]MUD!C21</f>
        <v>\USERS\CEZ_BG\CEZ_ELECTRO\Proizvoditeli_ESO_TEST\WebView\2021\MUD_BIO_Suhodol</v>
      </c>
      <c r="F165" s="3" t="str">
        <f t="shared" ref="F165:F172" si="14">F7</f>
        <v>Предварителни данни: Измерени количества</v>
      </c>
    </row>
    <row r="166" spans="2:6" x14ac:dyDescent="0.25">
      <c r="B166" s="11"/>
      <c r="C166" s="9"/>
      <c r="D166" s="9"/>
      <c r="E166" s="3" t="str">
        <f>[1]IDM_S!C21</f>
        <v>\USERS\CEZ_BG\CEZ_ELECTRO\Proizvoditeli_ESO_TEST\WebView\2021\IDM_S_BIO_Suhodol</v>
      </c>
      <c r="F166" s="3" t="str">
        <f t="shared" si="14"/>
        <v>Предварителни данни: продадени количества на пазар ВРД</v>
      </c>
    </row>
    <row r="167" spans="2:6" x14ac:dyDescent="0.25">
      <c r="B167" s="11"/>
      <c r="C167" s="9"/>
      <c r="D167" s="9"/>
      <c r="E167" s="3" t="str">
        <f>[1]IDM_B!C21</f>
        <v>\USERS\CEZ_BG\CEZ_ELECTRO\Proizvoditeli_ESO_TEST\WebView\2021\IDM_B_BIO_Suhodol</v>
      </c>
      <c r="F167" s="3" t="str">
        <f t="shared" si="14"/>
        <v>Предварителни данни: закупени количества на пазар ВРД</v>
      </c>
    </row>
    <row r="168" spans="2:6" x14ac:dyDescent="0.25">
      <c r="B168" s="11"/>
      <c r="C168" s="9"/>
      <c r="D168" s="9"/>
      <c r="E168" s="3" t="str">
        <f>[1]Prices!C3</f>
        <v>\USERS\CEZ_BG\CEZ_ELECTRO\Proizvoditeli_ESO_TEST\WebView\2021\IBEX_DAM_price</v>
      </c>
      <c r="F168" s="3" t="str">
        <f t="shared" si="14"/>
        <v>Предварителни данни: Борсова цена за пазар Д+1</v>
      </c>
    </row>
    <row r="169" spans="2:6" x14ac:dyDescent="0.25">
      <c r="B169" s="11"/>
      <c r="C169" s="9"/>
      <c r="D169" s="9"/>
      <c r="E169" s="3" t="str">
        <f>[1]Prices!C4</f>
        <v>\USERS\CEZ_BG\CEZ_ELECTRO\Proizvoditeli_ESO_TEST\WebView\2021\IBEX_IDM_Buy_price</v>
      </c>
      <c r="F169" s="3" t="str">
        <f t="shared" si="14"/>
        <v>Предварителни данни: Борсова цена за покупки на пазар ВРД</v>
      </c>
    </row>
    <row r="170" spans="2:6" x14ac:dyDescent="0.25">
      <c r="B170" s="11"/>
      <c r="C170" s="9"/>
      <c r="D170" s="9"/>
      <c r="E170" s="3" t="str">
        <f>[1]Prices!C5</f>
        <v>\USERS\CEZ_BG\CEZ_ELECTRO\Proizvoditeli_ESO_TEST\WebView\2021\IBEX_IDM_Sell_price</v>
      </c>
      <c r="F170" s="3" t="str">
        <f t="shared" si="14"/>
        <v>Предварителни данни: Борсова цена за продажби на пазар ВРД</v>
      </c>
    </row>
    <row r="171" spans="2:6" x14ac:dyDescent="0.25">
      <c r="B171" s="11"/>
      <c r="C171" s="9"/>
      <c r="D171" s="9"/>
      <c r="E171" s="3" t="str">
        <f>[1]Prices!C6</f>
        <v>\USERS\CEZ_BG\CEZ_ELECTRO\Proizvoditeli_ESO_TEST\WebView\2021\Bal_deficit_price</v>
      </c>
      <c r="F171" s="3" t="str">
        <f t="shared" si="14"/>
        <v>Предварителни данни: Цена на балансираща енергия за недостиг</v>
      </c>
    </row>
    <row r="172" spans="2:6" x14ac:dyDescent="0.25">
      <c r="B172" s="11"/>
      <c r="C172" s="9"/>
      <c r="D172" s="9"/>
      <c r="E172" s="3" t="str">
        <f>[1]Prices!C7</f>
        <v>\USERS\CEZ_BG\CEZ_ELECTRO\Proizvoditeli_ESO_TEST\WebView\2021\Bal_surplus_price</v>
      </c>
      <c r="F172" s="3" t="str">
        <f t="shared" si="14"/>
        <v>Предварителни данни: Цена на балансираща енергия за излишък</v>
      </c>
    </row>
    <row r="173" spans="2:6" x14ac:dyDescent="0.25">
      <c r="B173" s="11" t="s">
        <v>52</v>
      </c>
      <c r="C173" s="9"/>
      <c r="D173" s="9"/>
      <c r="E173" s="12"/>
    </row>
    <row r="174" spans="2:6" x14ac:dyDescent="0.25">
      <c r="B174" s="11"/>
      <c r="C174" s="6" t="s">
        <v>53</v>
      </c>
      <c r="D174" s="6" t="s">
        <v>54</v>
      </c>
      <c r="E174" s="12"/>
    </row>
    <row r="175" spans="2:6" x14ac:dyDescent="0.25">
      <c r="B175" s="11"/>
      <c r="C175" s="9"/>
      <c r="D175" s="9"/>
      <c r="E175" s="12" t="str">
        <f>[1]Pr!C20</f>
        <v>\USERS\CEZ_BG\CEZ_ELECTRO\Proizvoditeli_ESO_TEST\WebView\2021\Pr_BIO_Rubin</v>
      </c>
      <c r="F175" s="3" t="str">
        <f>F6</f>
        <v>Предварителни данни: продадени количества по прогноза Д+1</v>
      </c>
    </row>
    <row r="176" spans="2:6" x14ac:dyDescent="0.25">
      <c r="B176" s="11"/>
      <c r="C176" s="9"/>
      <c r="D176" s="9"/>
      <c r="E176" s="12" t="str">
        <f>[1]MUD!C20</f>
        <v>\USERS\CEZ_BG\CEZ_ELECTRO\Proizvoditeli_ESO_TEST\WebView\2021\MUD_BIO_Rubin</v>
      </c>
      <c r="F176" s="3" t="str">
        <f t="shared" ref="F176:F183" si="15">F7</f>
        <v>Предварителни данни: Измерени количества</v>
      </c>
    </row>
    <row r="177" spans="2:6" x14ac:dyDescent="0.25">
      <c r="B177" s="11"/>
      <c r="C177" s="9"/>
      <c r="D177" s="9"/>
      <c r="E177" s="12" t="str">
        <f>[1]IDM_S!C20</f>
        <v>\USERS\CEZ_BG\CEZ_ELECTRO\Proizvoditeli_ESO_TEST\WebView\2021\IDM_S_BIO_Rubin</v>
      </c>
      <c r="F177" s="3" t="str">
        <f t="shared" si="15"/>
        <v>Предварителни данни: продадени количества на пазар ВРД</v>
      </c>
    </row>
    <row r="178" spans="2:6" x14ac:dyDescent="0.25">
      <c r="B178" s="11"/>
      <c r="C178" s="9"/>
      <c r="D178" s="9"/>
      <c r="E178" s="12" t="str">
        <f>[1]IDM_B!C20</f>
        <v>\USERS\CEZ_BG\CEZ_ELECTRO\Proizvoditeli_ESO_TEST\WebView\2021\IDM_B_BIO_Rubin</v>
      </c>
      <c r="F178" s="3" t="str">
        <f t="shared" si="15"/>
        <v>Предварителни данни: закупени количества на пазар ВРД</v>
      </c>
    </row>
    <row r="179" spans="2:6" x14ac:dyDescent="0.25">
      <c r="B179" s="11"/>
      <c r="C179" s="9"/>
      <c r="D179" s="9"/>
      <c r="E179" s="12" t="str">
        <f>[1]Prices!C3</f>
        <v>\USERS\CEZ_BG\CEZ_ELECTRO\Proizvoditeli_ESO_TEST\WebView\2021\IBEX_DAM_price</v>
      </c>
      <c r="F179" s="3" t="str">
        <f t="shared" si="15"/>
        <v>Предварителни данни: Борсова цена за пазар Д+1</v>
      </c>
    </row>
    <row r="180" spans="2:6" x14ac:dyDescent="0.25">
      <c r="B180" s="11"/>
      <c r="C180" s="9"/>
      <c r="D180" s="9"/>
      <c r="E180" s="12" t="str">
        <f>[1]Prices!C4</f>
        <v>\USERS\CEZ_BG\CEZ_ELECTRO\Proizvoditeli_ESO_TEST\WebView\2021\IBEX_IDM_Buy_price</v>
      </c>
      <c r="F180" s="3" t="str">
        <f t="shared" si="15"/>
        <v>Предварителни данни: Борсова цена за покупки на пазар ВРД</v>
      </c>
    </row>
    <row r="181" spans="2:6" x14ac:dyDescent="0.25">
      <c r="B181" s="11"/>
      <c r="C181" s="9"/>
      <c r="D181" s="9"/>
      <c r="E181" s="12" t="str">
        <f>[1]Prices!C5</f>
        <v>\USERS\CEZ_BG\CEZ_ELECTRO\Proizvoditeli_ESO_TEST\WebView\2021\IBEX_IDM_Sell_price</v>
      </c>
      <c r="F181" s="3" t="str">
        <f t="shared" si="15"/>
        <v>Предварителни данни: Борсова цена за продажби на пазар ВРД</v>
      </c>
    </row>
    <row r="182" spans="2:6" x14ac:dyDescent="0.25">
      <c r="B182" s="11"/>
      <c r="C182" s="9"/>
      <c r="D182" s="9"/>
      <c r="E182" s="12" t="str">
        <f>[1]Prices!C6</f>
        <v>\USERS\CEZ_BG\CEZ_ELECTRO\Proizvoditeli_ESO_TEST\WebView\2021\Bal_deficit_price</v>
      </c>
      <c r="F182" s="3" t="str">
        <f t="shared" si="15"/>
        <v>Предварителни данни: Цена на балансираща енергия за недостиг</v>
      </c>
    </row>
    <row r="183" spans="2:6" x14ac:dyDescent="0.25">
      <c r="B183" s="11"/>
      <c r="C183" s="9"/>
      <c r="D183" s="9"/>
      <c r="E183" s="12" t="str">
        <f>[1]Prices!C7</f>
        <v>\USERS\CEZ_BG\CEZ_ELECTRO\Proizvoditeli_ESO_TEST\WebView\2021\Bal_surplus_price</v>
      </c>
      <c r="F183" s="3" t="str">
        <f t="shared" si="15"/>
        <v>Предварителни данни: Цена на балансираща енергия за излишък</v>
      </c>
    </row>
    <row r="184" spans="2:6" x14ac:dyDescent="0.25">
      <c r="B184" s="13" t="s">
        <v>55</v>
      </c>
      <c r="C184" s="9"/>
      <c r="D184" s="9"/>
      <c r="E184" s="12"/>
    </row>
    <row r="185" spans="2:6" x14ac:dyDescent="0.25">
      <c r="B185" s="11"/>
      <c r="C185" s="6" t="s">
        <v>56</v>
      </c>
      <c r="D185" s="14" t="s">
        <v>57</v>
      </c>
    </row>
    <row r="186" spans="2:6" x14ac:dyDescent="0.25">
      <c r="B186" s="11"/>
      <c r="C186" s="9"/>
      <c r="D186" s="9"/>
      <c r="E186" s="3" t="str">
        <f>[1]Pr!C18</f>
        <v>\USERS\CEZ_BG\CEZ_ELECTRO\Proizvoditeli_ESO_TEST\WebView\2021\Pr_VEC_Damyanitsa</v>
      </c>
      <c r="F186" s="3" t="str">
        <f>F6</f>
        <v>Предварителни данни: продадени количества по прогноза Д+1</v>
      </c>
    </row>
    <row r="187" spans="2:6" x14ac:dyDescent="0.25">
      <c r="B187" s="11"/>
      <c r="C187" s="9"/>
      <c r="D187" s="9"/>
      <c r="E187" s="3" t="str">
        <f>[1]MUD!C18</f>
        <v>\USERS\CEZ_BG\CEZ_ELECTRO\Proizvoditeli_ESO_TEST\WebView\2021\MUD_VEC_Damyanitsa</v>
      </c>
      <c r="F187" s="3" t="str">
        <f t="shared" ref="F187:F194" si="16">F7</f>
        <v>Предварителни данни: Измерени количества</v>
      </c>
    </row>
    <row r="188" spans="2:6" x14ac:dyDescent="0.25">
      <c r="B188" s="11"/>
      <c r="C188" s="9"/>
      <c r="D188" s="9"/>
      <c r="E188" s="3" t="str">
        <f>[1]IDM_S!C18</f>
        <v>\USERS\CEZ_BG\CEZ_ELECTRO\Proizvoditeli_ESO_TEST\WebView\2021\IDM_S_VEC_Damyanitsa</v>
      </c>
      <c r="F188" s="3" t="str">
        <f t="shared" si="16"/>
        <v>Предварителни данни: продадени количества на пазар ВРД</v>
      </c>
    </row>
    <row r="189" spans="2:6" x14ac:dyDescent="0.25">
      <c r="B189" s="11"/>
      <c r="C189" s="9"/>
      <c r="D189" s="9"/>
      <c r="E189" s="3" t="str">
        <f>[1]IDM_B!C18</f>
        <v>\USERS\CEZ_BG\CEZ_ELECTRO\Proizvoditeli_ESO_TEST\WebView\2021\IDM_B_VEC_Damyanitsa</v>
      </c>
      <c r="F189" s="3" t="str">
        <f t="shared" si="16"/>
        <v>Предварителни данни: закупени количества на пазар ВРД</v>
      </c>
    </row>
    <row r="190" spans="2:6" x14ac:dyDescent="0.25">
      <c r="B190" s="11"/>
      <c r="C190" s="9"/>
      <c r="D190" s="9"/>
      <c r="E190" s="3" t="str">
        <f>[1]Prices!C3</f>
        <v>\USERS\CEZ_BG\CEZ_ELECTRO\Proizvoditeli_ESO_TEST\WebView\2021\IBEX_DAM_price</v>
      </c>
      <c r="F190" s="3" t="str">
        <f t="shared" si="16"/>
        <v>Предварителни данни: Борсова цена за пазар Д+1</v>
      </c>
    </row>
    <row r="191" spans="2:6" x14ac:dyDescent="0.25">
      <c r="B191" s="11"/>
      <c r="C191" s="9"/>
      <c r="D191" s="9"/>
      <c r="E191" s="3" t="str">
        <f>[1]Prices!C4</f>
        <v>\USERS\CEZ_BG\CEZ_ELECTRO\Proizvoditeli_ESO_TEST\WebView\2021\IBEX_IDM_Buy_price</v>
      </c>
      <c r="F191" s="3" t="str">
        <f t="shared" si="16"/>
        <v>Предварителни данни: Борсова цена за покупки на пазар ВРД</v>
      </c>
    </row>
    <row r="192" spans="2:6" x14ac:dyDescent="0.25">
      <c r="B192" s="11"/>
      <c r="C192" s="9"/>
      <c r="D192" s="9"/>
      <c r="E192" s="3" t="str">
        <f>[1]Prices!C5</f>
        <v>\USERS\CEZ_BG\CEZ_ELECTRO\Proizvoditeli_ESO_TEST\WebView\2021\IBEX_IDM_Sell_price</v>
      </c>
      <c r="F192" s="3" t="str">
        <f t="shared" si="16"/>
        <v>Предварителни данни: Борсова цена за продажби на пазар ВРД</v>
      </c>
    </row>
    <row r="193" spans="2:6" x14ac:dyDescent="0.25">
      <c r="B193" s="11"/>
      <c r="C193" s="9"/>
      <c r="D193" s="9"/>
      <c r="E193" s="3" t="str">
        <f>[1]Prices!C6</f>
        <v>\USERS\CEZ_BG\CEZ_ELECTRO\Proizvoditeli_ESO_TEST\WebView\2021\Bal_deficit_price</v>
      </c>
      <c r="F193" s="3" t="str">
        <f t="shared" si="16"/>
        <v>Предварителни данни: Цена на балансираща енергия за недостиг</v>
      </c>
    </row>
    <row r="194" spans="2:6" x14ac:dyDescent="0.25">
      <c r="B194" s="11"/>
      <c r="C194" s="9"/>
      <c r="D194" s="9"/>
      <c r="E194" s="3" t="str">
        <f>[1]Prices!C7</f>
        <v>\USERS\CEZ_BG\CEZ_ELECTRO\Proizvoditeli_ESO_TEST\WebView\2021\Bal_surplus_price</v>
      </c>
      <c r="F194" s="3" t="str">
        <f t="shared" si="16"/>
        <v>Предварителни данни: Цена на балансираща енергия за излишък</v>
      </c>
    </row>
    <row r="195" spans="2:6" x14ac:dyDescent="0.25">
      <c r="B195" s="11"/>
      <c r="C195" s="9"/>
      <c r="D195" s="9"/>
    </row>
    <row r="196" spans="2:6" x14ac:dyDescent="0.25">
      <c r="B196" s="11"/>
      <c r="C196" s="9"/>
      <c r="D196" s="9"/>
    </row>
    <row r="197" spans="2:6" x14ac:dyDescent="0.25">
      <c r="B197" s="11"/>
      <c r="C197" s="9"/>
      <c r="D197" s="9"/>
    </row>
    <row r="198" spans="2:6" x14ac:dyDescent="0.25">
      <c r="B198" s="11"/>
      <c r="C198" s="9"/>
      <c r="D198" s="9"/>
    </row>
    <row r="199" spans="2:6" x14ac:dyDescent="0.25">
      <c r="B199" s="11"/>
      <c r="C199" s="9"/>
      <c r="D199" s="9"/>
    </row>
    <row r="200" spans="2:6" x14ac:dyDescent="0.25">
      <c r="B200" s="11"/>
      <c r="C200" s="9"/>
      <c r="D200" s="9"/>
    </row>
    <row r="201" spans="2:6" x14ac:dyDescent="0.25">
      <c r="B201" s="11"/>
      <c r="C201" s="9"/>
      <c r="D201" s="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DFB2C8-3127-44D2-8911-5890EBB5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2021-01-15T10:53:28Z</dcterms:created>
  <dcterms:modified xsi:type="dcterms:W3CDTF">2021-08-25T07:01:54Z</dcterms:modified>
</cp:coreProperties>
</file>