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ento_sešit"/>
  <mc:AlternateContent xmlns:mc="http://schemas.openxmlformats.org/markup-compatibility/2006">
    <mc:Choice Requires="x15">
      <x15ac:absPath xmlns:x15ac="http://schemas.microsoft.com/office/spreadsheetml/2010/11/ac" url="C:\Users\tsvetan.tsonev\Desktop\"/>
    </mc:Choice>
  </mc:AlternateContent>
  <xr:revisionPtr revIDLastSave="0" documentId="13_ncr:1_{EE5C7D81-E4A3-4426-BCF9-84B9BD4B9DF3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Download_WU" sheetId="6" r:id="rId1"/>
    <sheet name="Upload_XE" sheetId="7" r:id="rId2"/>
  </sheets>
  <functionGroups builtInGroupCount="19"/>
  <externalReferences>
    <externalReference r:id="rId3"/>
  </externalReferences>
  <definedNames>
    <definedName name="Count_days" localSheetId="1">[1]Download_WU!$O$1</definedName>
    <definedName name="Count_days">Download_WU!$O$1</definedName>
    <definedName name="Dat_DO" localSheetId="1">Upload_XE!$F$9</definedName>
    <definedName name="Dat_DO">#REF!</definedName>
    <definedName name="Dat_OD" localSheetId="1">Upload_XE!$D$9</definedName>
    <definedName name="Dat_OD">#REF!</definedName>
    <definedName name="Nav_Dat" localSheetId="1">Upload_XE!$A$12</definedName>
    <definedName name="Nav_Dat">#REF!</definedName>
    <definedName name="Nav_Hodn1st" localSheetId="1">Upload_XE!XFA1048538</definedName>
    <definedName name="Nav_Hodn1st">#REF!</definedName>
    <definedName name="PrvniProf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32" i="7" l="1"/>
  <c r="I132" i="7"/>
  <c r="H132" i="7"/>
  <c r="G132" i="7"/>
  <c r="F132" i="7"/>
  <c r="E132" i="7"/>
  <c r="D132" i="7"/>
  <c r="C132" i="7"/>
  <c r="J131" i="7"/>
  <c r="I131" i="7"/>
  <c r="H131" i="7"/>
  <c r="G131" i="7"/>
  <c r="F131" i="7"/>
  <c r="E131" i="7"/>
  <c r="D131" i="7"/>
  <c r="C131" i="7"/>
  <c r="J130" i="7"/>
  <c r="I130" i="7"/>
  <c r="H130" i="7"/>
  <c r="G130" i="7"/>
  <c r="F130" i="7"/>
  <c r="E130" i="7"/>
  <c r="D130" i="7"/>
  <c r="C130" i="7"/>
  <c r="J129" i="7"/>
  <c r="I129" i="7"/>
  <c r="H129" i="7"/>
  <c r="G129" i="7"/>
  <c r="F129" i="7"/>
  <c r="E129" i="7"/>
  <c r="D129" i="7"/>
  <c r="C129" i="7"/>
  <c r="J128" i="7"/>
  <c r="I128" i="7"/>
  <c r="H128" i="7"/>
  <c r="G128" i="7"/>
  <c r="F128" i="7"/>
  <c r="E128" i="7"/>
  <c r="D128" i="7"/>
  <c r="C128" i="7"/>
  <c r="J127" i="7"/>
  <c r="I127" i="7"/>
  <c r="H127" i="7"/>
  <c r="G127" i="7"/>
  <c r="F127" i="7"/>
  <c r="E127" i="7"/>
  <c r="D127" i="7"/>
  <c r="C127" i="7"/>
  <c r="J126" i="7"/>
  <c r="I126" i="7"/>
  <c r="H126" i="7"/>
  <c r="G126" i="7"/>
  <c r="F126" i="7"/>
  <c r="E126" i="7"/>
  <c r="D126" i="7"/>
  <c r="C126" i="7"/>
  <c r="J125" i="7"/>
  <c r="I125" i="7"/>
  <c r="H125" i="7"/>
  <c r="G125" i="7"/>
  <c r="F125" i="7"/>
  <c r="E125" i="7"/>
  <c r="D125" i="7"/>
  <c r="C125" i="7"/>
  <c r="J124" i="7"/>
  <c r="I124" i="7"/>
  <c r="H124" i="7"/>
  <c r="G124" i="7"/>
  <c r="F124" i="7"/>
  <c r="E124" i="7"/>
  <c r="D124" i="7"/>
  <c r="C124" i="7"/>
  <c r="J123" i="7"/>
  <c r="I123" i="7"/>
  <c r="H123" i="7"/>
  <c r="G123" i="7"/>
  <c r="F123" i="7"/>
  <c r="E123" i="7"/>
  <c r="D123" i="7"/>
  <c r="C123" i="7"/>
  <c r="J122" i="7"/>
  <c r="I122" i="7"/>
  <c r="H122" i="7"/>
  <c r="G122" i="7"/>
  <c r="F122" i="7"/>
  <c r="E122" i="7"/>
  <c r="D122" i="7"/>
  <c r="C122" i="7"/>
  <c r="J121" i="7"/>
  <c r="I121" i="7"/>
  <c r="H121" i="7"/>
  <c r="G121" i="7"/>
  <c r="F121" i="7"/>
  <c r="E121" i="7"/>
  <c r="D121" i="7"/>
  <c r="C121" i="7"/>
  <c r="J120" i="7"/>
  <c r="I120" i="7"/>
  <c r="H120" i="7"/>
  <c r="G120" i="7"/>
  <c r="F120" i="7"/>
  <c r="E120" i="7"/>
  <c r="D120" i="7"/>
  <c r="C120" i="7"/>
  <c r="J119" i="7"/>
  <c r="I119" i="7"/>
  <c r="H119" i="7"/>
  <c r="G119" i="7"/>
  <c r="F119" i="7"/>
  <c r="E119" i="7"/>
  <c r="D119" i="7"/>
  <c r="C119" i="7"/>
  <c r="J118" i="7"/>
  <c r="I118" i="7"/>
  <c r="H118" i="7"/>
  <c r="G118" i="7"/>
  <c r="F118" i="7"/>
  <c r="E118" i="7"/>
  <c r="D118" i="7"/>
  <c r="C118" i="7"/>
  <c r="J117" i="7"/>
  <c r="I117" i="7"/>
  <c r="H117" i="7"/>
  <c r="G117" i="7"/>
  <c r="F117" i="7"/>
  <c r="E117" i="7"/>
  <c r="D117" i="7"/>
  <c r="C117" i="7"/>
  <c r="J116" i="7"/>
  <c r="I116" i="7"/>
  <c r="H116" i="7"/>
  <c r="G116" i="7"/>
  <c r="F116" i="7"/>
  <c r="E116" i="7"/>
  <c r="D116" i="7"/>
  <c r="C116" i="7"/>
  <c r="J115" i="7"/>
  <c r="I115" i="7"/>
  <c r="H115" i="7"/>
  <c r="G115" i="7"/>
  <c r="F115" i="7"/>
  <c r="E115" i="7"/>
  <c r="D115" i="7"/>
  <c r="C115" i="7"/>
  <c r="J114" i="7"/>
  <c r="I114" i="7"/>
  <c r="H114" i="7"/>
  <c r="G114" i="7"/>
  <c r="F114" i="7"/>
  <c r="E114" i="7"/>
  <c r="D114" i="7"/>
  <c r="C114" i="7"/>
  <c r="J113" i="7"/>
  <c r="I113" i="7"/>
  <c r="H113" i="7"/>
  <c r="G113" i="7"/>
  <c r="F113" i="7"/>
  <c r="E113" i="7"/>
  <c r="D113" i="7"/>
  <c r="C113" i="7"/>
  <c r="J112" i="7"/>
  <c r="I112" i="7"/>
  <c r="H112" i="7"/>
  <c r="G112" i="7"/>
  <c r="F112" i="7"/>
  <c r="E112" i="7"/>
  <c r="D112" i="7"/>
  <c r="C112" i="7"/>
  <c r="J111" i="7"/>
  <c r="I111" i="7"/>
  <c r="H111" i="7"/>
  <c r="G111" i="7"/>
  <c r="F111" i="7"/>
  <c r="E111" i="7"/>
  <c r="D111" i="7"/>
  <c r="C111" i="7"/>
  <c r="J110" i="7"/>
  <c r="I110" i="7"/>
  <c r="H110" i="7"/>
  <c r="G110" i="7"/>
  <c r="F110" i="7"/>
  <c r="E110" i="7"/>
  <c r="D110" i="7"/>
  <c r="C110" i="7"/>
  <c r="J109" i="7"/>
  <c r="I109" i="7"/>
  <c r="H109" i="7"/>
  <c r="G109" i="7"/>
  <c r="F109" i="7"/>
  <c r="E109" i="7"/>
  <c r="D109" i="7"/>
  <c r="C109" i="7"/>
  <c r="J108" i="7"/>
  <c r="I108" i="7"/>
  <c r="H108" i="7"/>
  <c r="G108" i="7"/>
  <c r="F108" i="7"/>
  <c r="E108" i="7"/>
  <c r="D108" i="7"/>
  <c r="C108" i="7"/>
  <c r="J107" i="7"/>
  <c r="I107" i="7"/>
  <c r="H107" i="7"/>
  <c r="G107" i="7"/>
  <c r="F107" i="7"/>
  <c r="E107" i="7"/>
  <c r="D107" i="7"/>
  <c r="C107" i="7"/>
  <c r="J106" i="7"/>
  <c r="I106" i="7"/>
  <c r="H106" i="7"/>
  <c r="G106" i="7"/>
  <c r="F106" i="7"/>
  <c r="E106" i="7"/>
  <c r="D106" i="7"/>
  <c r="C106" i="7"/>
  <c r="J105" i="7"/>
  <c r="I105" i="7"/>
  <c r="H105" i="7"/>
  <c r="G105" i="7"/>
  <c r="F105" i="7"/>
  <c r="E105" i="7"/>
  <c r="D105" i="7"/>
  <c r="C105" i="7"/>
  <c r="J104" i="7"/>
  <c r="I104" i="7"/>
  <c r="H104" i="7"/>
  <c r="G104" i="7"/>
  <c r="F104" i="7"/>
  <c r="E104" i="7"/>
  <c r="D104" i="7"/>
  <c r="C104" i="7"/>
  <c r="J103" i="7"/>
  <c r="I103" i="7"/>
  <c r="H103" i="7"/>
  <c r="G103" i="7"/>
  <c r="F103" i="7"/>
  <c r="E103" i="7"/>
  <c r="D103" i="7"/>
  <c r="C103" i="7"/>
  <c r="J102" i="7"/>
  <c r="I102" i="7"/>
  <c r="H102" i="7"/>
  <c r="G102" i="7"/>
  <c r="F102" i="7"/>
  <c r="E102" i="7"/>
  <c r="D102" i="7"/>
  <c r="C102" i="7"/>
  <c r="J101" i="7"/>
  <c r="I101" i="7"/>
  <c r="H101" i="7"/>
  <c r="G101" i="7"/>
  <c r="F101" i="7"/>
  <c r="E101" i="7"/>
  <c r="D101" i="7"/>
  <c r="C101" i="7"/>
  <c r="J100" i="7"/>
  <c r="I100" i="7"/>
  <c r="H100" i="7"/>
  <c r="G100" i="7"/>
  <c r="F100" i="7"/>
  <c r="E100" i="7"/>
  <c r="D100" i="7"/>
  <c r="C100" i="7"/>
  <c r="J99" i="7"/>
  <c r="I99" i="7"/>
  <c r="H99" i="7"/>
  <c r="G99" i="7"/>
  <c r="F99" i="7"/>
  <c r="E99" i="7"/>
  <c r="D99" i="7"/>
  <c r="C99" i="7"/>
  <c r="J98" i="7"/>
  <c r="I98" i="7"/>
  <c r="H98" i="7"/>
  <c r="G98" i="7"/>
  <c r="F98" i="7"/>
  <c r="E98" i="7"/>
  <c r="D98" i="7"/>
  <c r="C98" i="7"/>
  <c r="J97" i="7"/>
  <c r="I97" i="7"/>
  <c r="H97" i="7"/>
  <c r="G97" i="7"/>
  <c r="F97" i="7"/>
  <c r="E97" i="7"/>
  <c r="D97" i="7"/>
  <c r="C97" i="7"/>
  <c r="J96" i="7"/>
  <c r="I96" i="7"/>
  <c r="H96" i="7"/>
  <c r="G96" i="7"/>
  <c r="F96" i="7"/>
  <c r="E96" i="7"/>
  <c r="D96" i="7"/>
  <c r="C96" i="7"/>
  <c r="J95" i="7"/>
  <c r="I95" i="7"/>
  <c r="H95" i="7"/>
  <c r="G95" i="7"/>
  <c r="F95" i="7"/>
  <c r="E95" i="7"/>
  <c r="D95" i="7"/>
  <c r="C95" i="7"/>
  <c r="J94" i="7"/>
  <c r="I94" i="7"/>
  <c r="H94" i="7"/>
  <c r="G94" i="7"/>
  <c r="F94" i="7"/>
  <c r="E94" i="7"/>
  <c r="D94" i="7"/>
  <c r="C94" i="7"/>
  <c r="J93" i="7"/>
  <c r="I93" i="7"/>
  <c r="H93" i="7"/>
  <c r="G93" i="7"/>
  <c r="F93" i="7"/>
  <c r="E93" i="7"/>
  <c r="D93" i="7"/>
  <c r="C93" i="7"/>
  <c r="J92" i="7"/>
  <c r="I92" i="7"/>
  <c r="H92" i="7"/>
  <c r="G92" i="7"/>
  <c r="F92" i="7"/>
  <c r="E92" i="7"/>
  <c r="D92" i="7"/>
  <c r="C92" i="7"/>
  <c r="J91" i="7"/>
  <c r="I91" i="7"/>
  <c r="H91" i="7"/>
  <c r="G91" i="7"/>
  <c r="F91" i="7"/>
  <c r="E91" i="7"/>
  <c r="D91" i="7"/>
  <c r="C91" i="7"/>
  <c r="J90" i="7"/>
  <c r="I90" i="7"/>
  <c r="H90" i="7"/>
  <c r="G90" i="7"/>
  <c r="F90" i="7"/>
  <c r="E90" i="7"/>
  <c r="D90" i="7"/>
  <c r="C90" i="7"/>
  <c r="J89" i="7"/>
  <c r="I89" i="7"/>
  <c r="H89" i="7"/>
  <c r="G89" i="7"/>
  <c r="F89" i="7"/>
  <c r="E89" i="7"/>
  <c r="D89" i="7"/>
  <c r="C89" i="7"/>
  <c r="J88" i="7"/>
  <c r="I88" i="7"/>
  <c r="H88" i="7"/>
  <c r="G88" i="7"/>
  <c r="F88" i="7"/>
  <c r="E88" i="7"/>
  <c r="D88" i="7"/>
  <c r="C88" i="7"/>
  <c r="J87" i="7"/>
  <c r="I87" i="7"/>
  <c r="H87" i="7"/>
  <c r="G87" i="7"/>
  <c r="F87" i="7"/>
  <c r="E87" i="7"/>
  <c r="D87" i="7"/>
  <c r="C87" i="7"/>
  <c r="J86" i="7"/>
  <c r="I86" i="7"/>
  <c r="H86" i="7"/>
  <c r="G86" i="7"/>
  <c r="F86" i="7"/>
  <c r="E86" i="7"/>
  <c r="D86" i="7"/>
  <c r="C86" i="7"/>
  <c r="J85" i="7"/>
  <c r="I85" i="7"/>
  <c r="H85" i="7"/>
  <c r="G85" i="7"/>
  <c r="F85" i="7"/>
  <c r="E85" i="7"/>
  <c r="D85" i="7"/>
  <c r="C85" i="7"/>
  <c r="J84" i="7"/>
  <c r="I84" i="7"/>
  <c r="H84" i="7"/>
  <c r="G84" i="7"/>
  <c r="F84" i="7"/>
  <c r="E84" i="7"/>
  <c r="D84" i="7"/>
  <c r="C84" i="7"/>
  <c r="J83" i="7"/>
  <c r="I83" i="7"/>
  <c r="H83" i="7"/>
  <c r="G83" i="7"/>
  <c r="F83" i="7"/>
  <c r="E83" i="7"/>
  <c r="D83" i="7"/>
  <c r="C83" i="7"/>
  <c r="J82" i="7"/>
  <c r="I82" i="7"/>
  <c r="H82" i="7"/>
  <c r="G82" i="7"/>
  <c r="F82" i="7"/>
  <c r="E82" i="7"/>
  <c r="D82" i="7"/>
  <c r="C82" i="7"/>
  <c r="J81" i="7"/>
  <c r="I81" i="7"/>
  <c r="H81" i="7"/>
  <c r="G81" i="7"/>
  <c r="F81" i="7"/>
  <c r="E81" i="7"/>
  <c r="D81" i="7"/>
  <c r="C81" i="7"/>
  <c r="J80" i="7"/>
  <c r="I80" i="7"/>
  <c r="H80" i="7"/>
  <c r="G80" i="7"/>
  <c r="F80" i="7"/>
  <c r="E80" i="7"/>
  <c r="D80" i="7"/>
  <c r="C80" i="7"/>
  <c r="J79" i="7"/>
  <c r="I79" i="7"/>
  <c r="H79" i="7"/>
  <c r="G79" i="7"/>
  <c r="F79" i="7"/>
  <c r="E79" i="7"/>
  <c r="D79" i="7"/>
  <c r="C79" i="7"/>
  <c r="J78" i="7"/>
  <c r="I78" i="7"/>
  <c r="H78" i="7"/>
  <c r="G78" i="7"/>
  <c r="F78" i="7"/>
  <c r="E78" i="7"/>
  <c r="D78" i="7"/>
  <c r="C78" i="7"/>
  <c r="J77" i="7"/>
  <c r="I77" i="7"/>
  <c r="H77" i="7"/>
  <c r="G77" i="7"/>
  <c r="F77" i="7"/>
  <c r="E77" i="7"/>
  <c r="D77" i="7"/>
  <c r="C77" i="7"/>
  <c r="J76" i="7"/>
  <c r="I76" i="7"/>
  <c r="H76" i="7"/>
  <c r="G76" i="7"/>
  <c r="F76" i="7"/>
  <c r="E76" i="7"/>
  <c r="D76" i="7"/>
  <c r="C76" i="7"/>
  <c r="J75" i="7"/>
  <c r="I75" i="7"/>
  <c r="H75" i="7"/>
  <c r="G75" i="7"/>
  <c r="F75" i="7"/>
  <c r="E75" i="7"/>
  <c r="D75" i="7"/>
  <c r="C75" i="7"/>
  <c r="J74" i="7"/>
  <c r="I74" i="7"/>
  <c r="H74" i="7"/>
  <c r="G74" i="7"/>
  <c r="F74" i="7"/>
  <c r="E74" i="7"/>
  <c r="D74" i="7"/>
  <c r="C74" i="7"/>
  <c r="J73" i="7"/>
  <c r="I73" i="7"/>
  <c r="H73" i="7"/>
  <c r="G73" i="7"/>
  <c r="F73" i="7"/>
  <c r="E73" i="7"/>
  <c r="D73" i="7"/>
  <c r="C73" i="7"/>
  <c r="J72" i="7"/>
  <c r="I72" i="7"/>
  <c r="H72" i="7"/>
  <c r="G72" i="7"/>
  <c r="F72" i="7"/>
  <c r="E72" i="7"/>
  <c r="D72" i="7"/>
  <c r="C72" i="7"/>
  <c r="J71" i="7"/>
  <c r="I71" i="7"/>
  <c r="H71" i="7"/>
  <c r="G71" i="7"/>
  <c r="F71" i="7"/>
  <c r="E71" i="7"/>
  <c r="D71" i="7"/>
  <c r="C71" i="7"/>
  <c r="J70" i="7"/>
  <c r="I70" i="7"/>
  <c r="H70" i="7"/>
  <c r="G70" i="7"/>
  <c r="F70" i="7"/>
  <c r="E70" i="7"/>
  <c r="D70" i="7"/>
  <c r="C70" i="7"/>
  <c r="J69" i="7"/>
  <c r="I69" i="7"/>
  <c r="H69" i="7"/>
  <c r="G69" i="7"/>
  <c r="F69" i="7"/>
  <c r="E69" i="7"/>
  <c r="D69" i="7"/>
  <c r="C69" i="7"/>
  <c r="J68" i="7"/>
  <c r="I68" i="7"/>
  <c r="H68" i="7"/>
  <c r="G68" i="7"/>
  <c r="F68" i="7"/>
  <c r="E68" i="7"/>
  <c r="D68" i="7"/>
  <c r="C68" i="7"/>
  <c r="J67" i="7"/>
  <c r="I67" i="7"/>
  <c r="H67" i="7"/>
  <c r="G67" i="7"/>
  <c r="F67" i="7"/>
  <c r="E67" i="7"/>
  <c r="D67" i="7"/>
  <c r="C67" i="7"/>
  <c r="J66" i="7"/>
  <c r="I66" i="7"/>
  <c r="H66" i="7"/>
  <c r="G66" i="7"/>
  <c r="F66" i="7"/>
  <c r="E66" i="7"/>
  <c r="D66" i="7"/>
  <c r="C66" i="7"/>
  <c r="J65" i="7"/>
  <c r="I65" i="7"/>
  <c r="H65" i="7"/>
  <c r="G65" i="7"/>
  <c r="F65" i="7"/>
  <c r="E65" i="7"/>
  <c r="D65" i="7"/>
  <c r="C65" i="7"/>
  <c r="J64" i="7"/>
  <c r="I64" i="7"/>
  <c r="H64" i="7"/>
  <c r="G64" i="7"/>
  <c r="F64" i="7"/>
  <c r="E64" i="7"/>
  <c r="D64" i="7"/>
  <c r="C64" i="7"/>
  <c r="J63" i="7"/>
  <c r="I63" i="7"/>
  <c r="H63" i="7"/>
  <c r="G63" i="7"/>
  <c r="F63" i="7"/>
  <c r="E63" i="7"/>
  <c r="D63" i="7"/>
  <c r="C63" i="7"/>
  <c r="J62" i="7"/>
  <c r="I62" i="7"/>
  <c r="H62" i="7"/>
  <c r="G62" i="7"/>
  <c r="F62" i="7"/>
  <c r="E62" i="7"/>
  <c r="D62" i="7"/>
  <c r="C62" i="7"/>
  <c r="J61" i="7"/>
  <c r="I61" i="7"/>
  <c r="H61" i="7"/>
  <c r="G61" i="7"/>
  <c r="F61" i="7"/>
  <c r="E61" i="7"/>
  <c r="D61" i="7"/>
  <c r="C61" i="7"/>
  <c r="J60" i="7"/>
  <c r="I60" i="7"/>
  <c r="H60" i="7"/>
  <c r="G60" i="7"/>
  <c r="F60" i="7"/>
  <c r="E60" i="7"/>
  <c r="D60" i="7"/>
  <c r="C60" i="7"/>
  <c r="J59" i="7"/>
  <c r="I59" i="7"/>
  <c r="H59" i="7"/>
  <c r="G59" i="7"/>
  <c r="F59" i="7"/>
  <c r="E59" i="7"/>
  <c r="D59" i="7"/>
  <c r="C59" i="7"/>
  <c r="J58" i="7"/>
  <c r="I58" i="7"/>
  <c r="H58" i="7"/>
  <c r="G58" i="7"/>
  <c r="F58" i="7"/>
  <c r="E58" i="7"/>
  <c r="D58" i="7"/>
  <c r="C58" i="7"/>
  <c r="J57" i="7"/>
  <c r="I57" i="7"/>
  <c r="H57" i="7"/>
  <c r="G57" i="7"/>
  <c r="F57" i="7"/>
  <c r="E57" i="7"/>
  <c r="D57" i="7"/>
  <c r="C57" i="7"/>
  <c r="J56" i="7"/>
  <c r="I56" i="7"/>
  <c r="H56" i="7"/>
  <c r="G56" i="7"/>
  <c r="F56" i="7"/>
  <c r="E56" i="7"/>
  <c r="D56" i="7"/>
  <c r="C56" i="7"/>
  <c r="J55" i="7"/>
  <c r="I55" i="7"/>
  <c r="H55" i="7"/>
  <c r="G55" i="7"/>
  <c r="F55" i="7"/>
  <c r="E55" i="7"/>
  <c r="D55" i="7"/>
  <c r="C55" i="7"/>
  <c r="J54" i="7"/>
  <c r="I54" i="7"/>
  <c r="H54" i="7"/>
  <c r="G54" i="7"/>
  <c r="F54" i="7"/>
  <c r="E54" i="7"/>
  <c r="D54" i="7"/>
  <c r="C54" i="7"/>
  <c r="J53" i="7"/>
  <c r="I53" i="7"/>
  <c r="H53" i="7"/>
  <c r="G53" i="7"/>
  <c r="F53" i="7"/>
  <c r="E53" i="7"/>
  <c r="D53" i="7"/>
  <c r="C53" i="7"/>
  <c r="J52" i="7"/>
  <c r="I52" i="7"/>
  <c r="H52" i="7"/>
  <c r="G52" i="7"/>
  <c r="F52" i="7"/>
  <c r="E52" i="7"/>
  <c r="D52" i="7"/>
  <c r="C52" i="7"/>
  <c r="J51" i="7"/>
  <c r="I51" i="7"/>
  <c r="H51" i="7"/>
  <c r="G51" i="7"/>
  <c r="F51" i="7"/>
  <c r="E51" i="7"/>
  <c r="D51" i="7"/>
  <c r="C51" i="7"/>
  <c r="J50" i="7"/>
  <c r="I50" i="7"/>
  <c r="H50" i="7"/>
  <c r="G50" i="7"/>
  <c r="F50" i="7"/>
  <c r="E50" i="7"/>
  <c r="D50" i="7"/>
  <c r="C50" i="7"/>
  <c r="J49" i="7"/>
  <c r="I49" i="7"/>
  <c r="H49" i="7"/>
  <c r="G49" i="7"/>
  <c r="F49" i="7"/>
  <c r="E49" i="7"/>
  <c r="D49" i="7"/>
  <c r="C49" i="7"/>
  <c r="J48" i="7"/>
  <c r="I48" i="7"/>
  <c r="H48" i="7"/>
  <c r="G48" i="7"/>
  <c r="F48" i="7"/>
  <c r="E48" i="7"/>
  <c r="D48" i="7"/>
  <c r="C48" i="7"/>
  <c r="J47" i="7"/>
  <c r="I47" i="7"/>
  <c r="H47" i="7"/>
  <c r="G47" i="7"/>
  <c r="F47" i="7"/>
  <c r="E47" i="7"/>
  <c r="D47" i="7"/>
  <c r="C47" i="7"/>
  <c r="J46" i="7"/>
  <c r="I46" i="7"/>
  <c r="H46" i="7"/>
  <c r="G46" i="7"/>
  <c r="F46" i="7"/>
  <c r="E46" i="7"/>
  <c r="D46" i="7"/>
  <c r="C46" i="7"/>
  <c r="J45" i="7"/>
  <c r="I45" i="7"/>
  <c r="H45" i="7"/>
  <c r="G45" i="7"/>
  <c r="F45" i="7"/>
  <c r="E45" i="7"/>
  <c r="D45" i="7"/>
  <c r="C45" i="7"/>
  <c r="J44" i="7"/>
  <c r="I44" i="7"/>
  <c r="H44" i="7"/>
  <c r="G44" i="7"/>
  <c r="F44" i="7"/>
  <c r="E44" i="7"/>
  <c r="D44" i="7"/>
  <c r="C44" i="7"/>
  <c r="J43" i="7"/>
  <c r="I43" i="7"/>
  <c r="H43" i="7"/>
  <c r="G43" i="7"/>
  <c r="F43" i="7"/>
  <c r="E43" i="7"/>
  <c r="D43" i="7"/>
  <c r="C43" i="7"/>
  <c r="J42" i="7"/>
  <c r="I42" i="7"/>
  <c r="H42" i="7"/>
  <c r="G42" i="7"/>
  <c r="F42" i="7"/>
  <c r="E42" i="7"/>
  <c r="D42" i="7"/>
  <c r="C42" i="7"/>
  <c r="J41" i="7"/>
  <c r="I41" i="7"/>
  <c r="H41" i="7"/>
  <c r="G41" i="7"/>
  <c r="F41" i="7"/>
  <c r="E41" i="7"/>
  <c r="D41" i="7"/>
  <c r="C41" i="7"/>
  <c r="J40" i="7"/>
  <c r="I40" i="7"/>
  <c r="H40" i="7"/>
  <c r="G40" i="7"/>
  <c r="F40" i="7"/>
  <c r="E40" i="7"/>
  <c r="D40" i="7"/>
  <c r="C40" i="7"/>
  <c r="J39" i="7"/>
  <c r="I39" i="7"/>
  <c r="H39" i="7"/>
  <c r="G39" i="7"/>
  <c r="F39" i="7"/>
  <c r="E39" i="7"/>
  <c r="D39" i="7"/>
  <c r="C39" i="7"/>
  <c r="J38" i="7"/>
  <c r="I38" i="7"/>
  <c r="H38" i="7"/>
  <c r="G38" i="7"/>
  <c r="F38" i="7"/>
  <c r="E38" i="7"/>
  <c r="D38" i="7"/>
  <c r="C38" i="7"/>
  <c r="J37" i="7"/>
  <c r="I37" i="7"/>
  <c r="H37" i="7"/>
  <c r="G37" i="7"/>
  <c r="F37" i="7"/>
  <c r="E37" i="7"/>
  <c r="D37" i="7"/>
  <c r="C37" i="7"/>
  <c r="J36" i="7"/>
  <c r="I36" i="7"/>
  <c r="H36" i="7"/>
  <c r="G36" i="7"/>
  <c r="F36" i="7"/>
  <c r="E36" i="7"/>
  <c r="D36" i="7"/>
  <c r="C36" i="7"/>
  <c r="J35" i="7"/>
  <c r="I35" i="7"/>
  <c r="H35" i="7"/>
  <c r="G35" i="7"/>
  <c r="F35" i="7"/>
  <c r="E35" i="7"/>
  <c r="D35" i="7"/>
  <c r="C35" i="7"/>
  <c r="J34" i="7"/>
  <c r="I34" i="7"/>
  <c r="H34" i="7"/>
  <c r="G34" i="7"/>
  <c r="F34" i="7"/>
  <c r="E34" i="7"/>
  <c r="D34" i="7"/>
  <c r="C34" i="7"/>
  <c r="J33" i="7"/>
  <c r="I33" i="7"/>
  <c r="H33" i="7"/>
  <c r="G33" i="7"/>
  <c r="F33" i="7"/>
  <c r="E33" i="7"/>
  <c r="D33" i="7"/>
  <c r="C33" i="7"/>
  <c r="J32" i="7"/>
  <c r="I32" i="7"/>
  <c r="H32" i="7"/>
  <c r="G32" i="7"/>
  <c r="F32" i="7"/>
  <c r="E32" i="7"/>
  <c r="D32" i="7"/>
  <c r="C32" i="7"/>
  <c r="J31" i="7"/>
  <c r="I31" i="7"/>
  <c r="H31" i="7"/>
  <c r="G31" i="7"/>
  <c r="F31" i="7"/>
  <c r="E31" i="7"/>
  <c r="D31" i="7"/>
  <c r="C31" i="7"/>
  <c r="J30" i="7"/>
  <c r="I30" i="7"/>
  <c r="H30" i="7"/>
  <c r="G30" i="7"/>
  <c r="F30" i="7"/>
  <c r="E30" i="7"/>
  <c r="D30" i="7"/>
  <c r="C30" i="7"/>
  <c r="J29" i="7"/>
  <c r="I29" i="7"/>
  <c r="H29" i="7"/>
  <c r="G29" i="7"/>
  <c r="F29" i="7"/>
  <c r="E29" i="7"/>
  <c r="D29" i="7"/>
  <c r="C29" i="7"/>
  <c r="J28" i="7"/>
  <c r="I28" i="7"/>
  <c r="H28" i="7"/>
  <c r="G28" i="7"/>
  <c r="F28" i="7"/>
  <c r="E28" i="7"/>
  <c r="D28" i="7"/>
  <c r="C28" i="7"/>
  <c r="J27" i="7"/>
  <c r="I27" i="7"/>
  <c r="H27" i="7"/>
  <c r="G27" i="7"/>
  <c r="F27" i="7"/>
  <c r="E27" i="7"/>
  <c r="D27" i="7"/>
  <c r="C27" i="7"/>
  <c r="J26" i="7"/>
  <c r="I26" i="7"/>
  <c r="H26" i="7"/>
  <c r="G26" i="7"/>
  <c r="F26" i="7"/>
  <c r="E26" i="7"/>
  <c r="D26" i="7"/>
  <c r="C26" i="7"/>
  <c r="J25" i="7"/>
  <c r="I25" i="7"/>
  <c r="H25" i="7"/>
  <c r="G25" i="7"/>
  <c r="F25" i="7"/>
  <c r="E25" i="7"/>
  <c r="D25" i="7"/>
  <c r="C25" i="7"/>
  <c r="J24" i="7"/>
  <c r="I24" i="7"/>
  <c r="H24" i="7"/>
  <c r="G24" i="7"/>
  <c r="F24" i="7"/>
  <c r="E24" i="7"/>
  <c r="D24" i="7"/>
  <c r="C24" i="7"/>
  <c r="J23" i="7"/>
  <c r="I23" i="7"/>
  <c r="H23" i="7"/>
  <c r="G23" i="7"/>
  <c r="F23" i="7"/>
  <c r="E23" i="7"/>
  <c r="D23" i="7"/>
  <c r="C23" i="7"/>
  <c r="J22" i="7"/>
  <c r="I22" i="7"/>
  <c r="H22" i="7"/>
  <c r="G22" i="7"/>
  <c r="F22" i="7"/>
  <c r="E22" i="7"/>
  <c r="D22" i="7"/>
  <c r="C22" i="7"/>
  <c r="J21" i="7"/>
  <c r="I21" i="7"/>
  <c r="H21" i="7"/>
  <c r="G21" i="7"/>
  <c r="F21" i="7"/>
  <c r="E21" i="7"/>
  <c r="D21" i="7"/>
  <c r="C21" i="7"/>
  <c r="J20" i="7"/>
  <c r="I20" i="7"/>
  <c r="H20" i="7"/>
  <c r="G20" i="7"/>
  <c r="F20" i="7"/>
  <c r="E20" i="7"/>
  <c r="D20" i="7"/>
  <c r="C20" i="7"/>
  <c r="J19" i="7"/>
  <c r="I19" i="7"/>
  <c r="H19" i="7"/>
  <c r="G19" i="7"/>
  <c r="F19" i="7"/>
  <c r="E19" i="7"/>
  <c r="D19" i="7"/>
  <c r="C19" i="7"/>
  <c r="J18" i="7"/>
  <c r="I18" i="7"/>
  <c r="H18" i="7"/>
  <c r="G18" i="7"/>
  <c r="F18" i="7"/>
  <c r="E18" i="7"/>
  <c r="D18" i="7"/>
  <c r="C18" i="7"/>
  <c r="J17" i="7"/>
  <c r="I17" i="7"/>
  <c r="H17" i="7"/>
  <c r="G17" i="7"/>
  <c r="F17" i="7"/>
  <c r="E17" i="7"/>
  <c r="D17" i="7"/>
  <c r="C17" i="7"/>
  <c r="J16" i="7"/>
  <c r="I16" i="7"/>
  <c r="H16" i="7"/>
  <c r="G16" i="7"/>
  <c r="F16" i="7"/>
  <c r="E16" i="7"/>
  <c r="D16" i="7"/>
  <c r="C16" i="7"/>
  <c r="J15" i="7"/>
  <c r="I15" i="7"/>
  <c r="H15" i="7"/>
  <c r="G15" i="7"/>
  <c r="F15" i="7"/>
  <c r="E15" i="7"/>
  <c r="D15" i="7"/>
  <c r="C15" i="7"/>
  <c r="J14" i="7"/>
  <c r="I14" i="7"/>
  <c r="H14" i="7"/>
  <c r="G14" i="7"/>
  <c r="F14" i="7"/>
  <c r="E14" i="7"/>
  <c r="D14" i="7"/>
  <c r="C14" i="7"/>
  <c r="J13" i="7"/>
  <c r="I13" i="7"/>
  <c r="H13" i="7"/>
  <c r="G13" i="7"/>
  <c r="F13" i="7"/>
  <c r="E13" i="7"/>
  <c r="D13" i="7"/>
  <c r="C13" i="7"/>
  <c r="W121" i="6"/>
  <c r="V121" i="6"/>
  <c r="U121" i="6"/>
  <c r="T121" i="6"/>
  <c r="S121" i="6"/>
  <c r="R121" i="6"/>
  <c r="Q121" i="6"/>
  <c r="P121" i="6"/>
  <c r="W120" i="6"/>
  <c r="V120" i="6"/>
  <c r="U120" i="6"/>
  <c r="T120" i="6"/>
  <c r="S120" i="6"/>
  <c r="R120" i="6"/>
  <c r="Q120" i="6"/>
  <c r="P120" i="6"/>
  <c r="W119" i="6"/>
  <c r="V119" i="6"/>
  <c r="U119" i="6"/>
  <c r="T119" i="6"/>
  <c r="S119" i="6"/>
  <c r="R119" i="6"/>
  <c r="Q119" i="6"/>
  <c r="P119" i="6"/>
  <c r="W118" i="6"/>
  <c r="V118" i="6"/>
  <c r="U118" i="6"/>
  <c r="T118" i="6"/>
  <c r="S118" i="6"/>
  <c r="R118" i="6"/>
  <c r="Q118" i="6"/>
  <c r="P118" i="6"/>
  <c r="W117" i="6"/>
  <c r="V117" i="6"/>
  <c r="U117" i="6"/>
  <c r="T117" i="6"/>
  <c r="S117" i="6"/>
  <c r="R117" i="6"/>
  <c r="Q117" i="6"/>
  <c r="P117" i="6"/>
  <c r="W116" i="6"/>
  <c r="V116" i="6"/>
  <c r="U116" i="6"/>
  <c r="T116" i="6"/>
  <c r="S116" i="6"/>
  <c r="R116" i="6"/>
  <c r="Q116" i="6"/>
  <c r="P116" i="6"/>
  <c r="W115" i="6"/>
  <c r="V115" i="6"/>
  <c r="U115" i="6"/>
  <c r="T115" i="6"/>
  <c r="S115" i="6"/>
  <c r="R115" i="6"/>
  <c r="Q115" i="6"/>
  <c r="P115" i="6"/>
  <c r="W114" i="6"/>
  <c r="V114" i="6"/>
  <c r="U114" i="6"/>
  <c r="T114" i="6"/>
  <c r="S114" i="6"/>
  <c r="R114" i="6"/>
  <c r="Q114" i="6"/>
  <c r="P114" i="6"/>
  <c r="W113" i="6"/>
  <c r="V113" i="6"/>
  <c r="U113" i="6"/>
  <c r="T113" i="6"/>
  <c r="S113" i="6"/>
  <c r="R113" i="6"/>
  <c r="Q113" i="6"/>
  <c r="P113" i="6"/>
  <c r="W112" i="6"/>
  <c r="V112" i="6"/>
  <c r="U112" i="6"/>
  <c r="T112" i="6"/>
  <c r="S112" i="6"/>
  <c r="R112" i="6"/>
  <c r="Q112" i="6"/>
  <c r="P112" i="6"/>
  <c r="W111" i="6"/>
  <c r="V111" i="6"/>
  <c r="U111" i="6"/>
  <c r="T111" i="6"/>
  <c r="S111" i="6"/>
  <c r="R111" i="6"/>
  <c r="Q111" i="6"/>
  <c r="P111" i="6"/>
  <c r="W110" i="6"/>
  <c r="V110" i="6"/>
  <c r="U110" i="6"/>
  <c r="T110" i="6"/>
  <c r="S110" i="6"/>
  <c r="R110" i="6"/>
  <c r="Q110" i="6"/>
  <c r="P110" i="6"/>
  <c r="W109" i="6"/>
  <c r="V109" i="6"/>
  <c r="U109" i="6"/>
  <c r="T109" i="6"/>
  <c r="S109" i="6"/>
  <c r="R109" i="6"/>
  <c r="Q109" i="6"/>
  <c r="P109" i="6"/>
  <c r="W108" i="6"/>
  <c r="V108" i="6"/>
  <c r="U108" i="6"/>
  <c r="T108" i="6"/>
  <c r="S108" i="6"/>
  <c r="R108" i="6"/>
  <c r="Q108" i="6"/>
  <c r="P108" i="6"/>
  <c r="W107" i="6"/>
  <c r="V107" i="6"/>
  <c r="U107" i="6"/>
  <c r="T107" i="6"/>
  <c r="S107" i="6"/>
  <c r="R107" i="6"/>
  <c r="Q107" i="6"/>
  <c r="P107" i="6"/>
  <c r="W106" i="6"/>
  <c r="V106" i="6"/>
  <c r="U106" i="6"/>
  <c r="T106" i="6"/>
  <c r="S106" i="6"/>
  <c r="R106" i="6"/>
  <c r="Q106" i="6"/>
  <c r="P106" i="6"/>
  <c r="W105" i="6"/>
  <c r="V105" i="6"/>
  <c r="U105" i="6"/>
  <c r="T105" i="6"/>
  <c r="S105" i="6"/>
  <c r="R105" i="6"/>
  <c r="Q105" i="6"/>
  <c r="P105" i="6"/>
  <c r="W104" i="6"/>
  <c r="V104" i="6"/>
  <c r="U104" i="6"/>
  <c r="T104" i="6"/>
  <c r="S104" i="6"/>
  <c r="R104" i="6"/>
  <c r="Q104" i="6"/>
  <c r="P104" i="6"/>
  <c r="W103" i="6"/>
  <c r="V103" i="6"/>
  <c r="U103" i="6"/>
  <c r="T103" i="6"/>
  <c r="S103" i="6"/>
  <c r="R103" i="6"/>
  <c r="Q103" i="6"/>
  <c r="P103" i="6"/>
  <c r="W102" i="6"/>
  <c r="V102" i="6"/>
  <c r="U102" i="6"/>
  <c r="T102" i="6"/>
  <c r="S102" i="6"/>
  <c r="R102" i="6"/>
  <c r="Q102" i="6"/>
  <c r="P102" i="6"/>
  <c r="W101" i="6"/>
  <c r="V101" i="6"/>
  <c r="U101" i="6"/>
  <c r="T101" i="6"/>
  <c r="S101" i="6"/>
  <c r="R101" i="6"/>
  <c r="Q101" i="6"/>
  <c r="P101" i="6"/>
  <c r="W100" i="6"/>
  <c r="V100" i="6"/>
  <c r="U100" i="6"/>
  <c r="T100" i="6"/>
  <c r="S100" i="6"/>
  <c r="R100" i="6"/>
  <c r="Q100" i="6"/>
  <c r="P100" i="6"/>
  <c r="W99" i="6"/>
  <c r="V99" i="6"/>
  <c r="U99" i="6"/>
  <c r="T99" i="6"/>
  <c r="S99" i="6"/>
  <c r="R99" i="6"/>
  <c r="Q99" i="6"/>
  <c r="P99" i="6"/>
  <c r="W98" i="6"/>
  <c r="V98" i="6"/>
  <c r="U98" i="6"/>
  <c r="T98" i="6"/>
  <c r="S98" i="6"/>
  <c r="R98" i="6"/>
  <c r="Q98" i="6"/>
  <c r="P98" i="6"/>
  <c r="W97" i="6"/>
  <c r="V97" i="6"/>
  <c r="U97" i="6"/>
  <c r="T97" i="6"/>
  <c r="S97" i="6"/>
  <c r="R97" i="6"/>
  <c r="Q97" i="6"/>
  <c r="P97" i="6"/>
  <c r="W96" i="6"/>
  <c r="V96" i="6"/>
  <c r="U96" i="6"/>
  <c r="T96" i="6"/>
  <c r="S96" i="6"/>
  <c r="R96" i="6"/>
  <c r="Q96" i="6"/>
  <c r="P96" i="6"/>
  <c r="W95" i="6"/>
  <c r="V95" i="6"/>
  <c r="U95" i="6"/>
  <c r="T95" i="6"/>
  <c r="S95" i="6"/>
  <c r="R95" i="6"/>
  <c r="Q95" i="6"/>
  <c r="P95" i="6"/>
  <c r="W94" i="6"/>
  <c r="V94" i="6"/>
  <c r="U94" i="6"/>
  <c r="T94" i="6"/>
  <c r="S94" i="6"/>
  <c r="R94" i="6"/>
  <c r="Q94" i="6"/>
  <c r="P94" i="6"/>
  <c r="W93" i="6"/>
  <c r="V93" i="6"/>
  <c r="U93" i="6"/>
  <c r="T93" i="6"/>
  <c r="S93" i="6"/>
  <c r="R93" i="6"/>
  <c r="Q93" i="6"/>
  <c r="P93" i="6"/>
  <c r="W92" i="6"/>
  <c r="V92" i="6"/>
  <c r="U92" i="6"/>
  <c r="T92" i="6"/>
  <c r="S92" i="6"/>
  <c r="R92" i="6"/>
  <c r="Q92" i="6"/>
  <c r="P92" i="6"/>
  <c r="W91" i="6"/>
  <c r="V91" i="6"/>
  <c r="U91" i="6"/>
  <c r="T91" i="6"/>
  <c r="S91" i="6"/>
  <c r="R91" i="6"/>
  <c r="Q91" i="6"/>
  <c r="P91" i="6"/>
  <c r="W90" i="6"/>
  <c r="V90" i="6"/>
  <c r="U90" i="6"/>
  <c r="T90" i="6"/>
  <c r="S90" i="6"/>
  <c r="R90" i="6"/>
  <c r="Q90" i="6"/>
  <c r="P90" i="6"/>
  <c r="W89" i="6"/>
  <c r="V89" i="6"/>
  <c r="U89" i="6"/>
  <c r="T89" i="6"/>
  <c r="S89" i="6"/>
  <c r="R89" i="6"/>
  <c r="Q89" i="6"/>
  <c r="P89" i="6"/>
  <c r="W88" i="6"/>
  <c r="V88" i="6"/>
  <c r="U88" i="6"/>
  <c r="T88" i="6"/>
  <c r="S88" i="6"/>
  <c r="R88" i="6"/>
  <c r="Q88" i="6"/>
  <c r="P88" i="6"/>
  <c r="W87" i="6"/>
  <c r="V87" i="6"/>
  <c r="U87" i="6"/>
  <c r="T87" i="6"/>
  <c r="S87" i="6"/>
  <c r="R87" i="6"/>
  <c r="Q87" i="6"/>
  <c r="P87" i="6"/>
  <c r="W86" i="6"/>
  <c r="V86" i="6"/>
  <c r="U86" i="6"/>
  <c r="T86" i="6"/>
  <c r="S86" i="6"/>
  <c r="R86" i="6"/>
  <c r="Q86" i="6"/>
  <c r="P86" i="6"/>
  <c r="W85" i="6"/>
  <c r="V85" i="6"/>
  <c r="U85" i="6"/>
  <c r="T85" i="6"/>
  <c r="S85" i="6"/>
  <c r="R85" i="6"/>
  <c r="Q85" i="6"/>
  <c r="P85" i="6"/>
  <c r="W84" i="6"/>
  <c r="V84" i="6"/>
  <c r="U84" i="6"/>
  <c r="T84" i="6"/>
  <c r="S84" i="6"/>
  <c r="R84" i="6"/>
  <c r="Q84" i="6"/>
  <c r="P84" i="6"/>
  <c r="W83" i="6"/>
  <c r="V83" i="6"/>
  <c r="U83" i="6"/>
  <c r="T83" i="6"/>
  <c r="S83" i="6"/>
  <c r="R83" i="6"/>
  <c r="Q83" i="6"/>
  <c r="P83" i="6"/>
  <c r="W82" i="6"/>
  <c r="V82" i="6"/>
  <c r="U82" i="6"/>
  <c r="T82" i="6"/>
  <c r="S82" i="6"/>
  <c r="R82" i="6"/>
  <c r="Q82" i="6"/>
  <c r="P82" i="6"/>
  <c r="W81" i="6"/>
  <c r="V81" i="6"/>
  <c r="U81" i="6"/>
  <c r="T81" i="6"/>
  <c r="S81" i="6"/>
  <c r="R81" i="6"/>
  <c r="Q81" i="6"/>
  <c r="P81" i="6"/>
  <c r="W80" i="6"/>
  <c r="V80" i="6"/>
  <c r="U80" i="6"/>
  <c r="T80" i="6"/>
  <c r="S80" i="6"/>
  <c r="R80" i="6"/>
  <c r="Q80" i="6"/>
  <c r="P80" i="6"/>
  <c r="W79" i="6"/>
  <c r="V79" i="6"/>
  <c r="U79" i="6"/>
  <c r="T79" i="6"/>
  <c r="S79" i="6"/>
  <c r="R79" i="6"/>
  <c r="Q79" i="6"/>
  <c r="P79" i="6"/>
  <c r="W78" i="6"/>
  <c r="V78" i="6"/>
  <c r="U78" i="6"/>
  <c r="T78" i="6"/>
  <c r="S78" i="6"/>
  <c r="R78" i="6"/>
  <c r="Q78" i="6"/>
  <c r="P78" i="6"/>
  <c r="W77" i="6"/>
  <c r="V77" i="6"/>
  <c r="U77" i="6"/>
  <c r="T77" i="6"/>
  <c r="S77" i="6"/>
  <c r="R77" i="6"/>
  <c r="Q77" i="6"/>
  <c r="P77" i="6"/>
  <c r="W76" i="6"/>
  <c r="V76" i="6"/>
  <c r="U76" i="6"/>
  <c r="T76" i="6"/>
  <c r="S76" i="6"/>
  <c r="R76" i="6"/>
  <c r="Q76" i="6"/>
  <c r="P76" i="6"/>
  <c r="W75" i="6"/>
  <c r="V75" i="6"/>
  <c r="U75" i="6"/>
  <c r="T75" i="6"/>
  <c r="S75" i="6"/>
  <c r="R75" i="6"/>
  <c r="Q75" i="6"/>
  <c r="P75" i="6"/>
  <c r="W74" i="6"/>
  <c r="V74" i="6"/>
  <c r="U74" i="6"/>
  <c r="T74" i="6"/>
  <c r="S74" i="6"/>
  <c r="R74" i="6"/>
  <c r="Q74" i="6"/>
  <c r="P74" i="6"/>
  <c r="W73" i="6"/>
  <c r="V73" i="6"/>
  <c r="U73" i="6"/>
  <c r="T73" i="6"/>
  <c r="S73" i="6"/>
  <c r="R73" i="6"/>
  <c r="Q73" i="6"/>
  <c r="P73" i="6"/>
  <c r="W72" i="6"/>
  <c r="V72" i="6"/>
  <c r="U72" i="6"/>
  <c r="T72" i="6"/>
  <c r="S72" i="6"/>
  <c r="R72" i="6"/>
  <c r="Q72" i="6"/>
  <c r="P72" i="6"/>
  <c r="W71" i="6"/>
  <c r="V71" i="6"/>
  <c r="U71" i="6"/>
  <c r="T71" i="6"/>
  <c r="S71" i="6"/>
  <c r="R71" i="6"/>
  <c r="Q71" i="6"/>
  <c r="P71" i="6"/>
  <c r="W70" i="6"/>
  <c r="V70" i="6"/>
  <c r="U70" i="6"/>
  <c r="T70" i="6"/>
  <c r="S70" i="6"/>
  <c r="R70" i="6"/>
  <c r="Q70" i="6"/>
  <c r="P70" i="6"/>
  <c r="W69" i="6"/>
  <c r="V69" i="6"/>
  <c r="U69" i="6"/>
  <c r="T69" i="6"/>
  <c r="S69" i="6"/>
  <c r="R69" i="6"/>
  <c r="Q69" i="6"/>
  <c r="P69" i="6"/>
  <c r="W68" i="6"/>
  <c r="V68" i="6"/>
  <c r="U68" i="6"/>
  <c r="T68" i="6"/>
  <c r="S68" i="6"/>
  <c r="R68" i="6"/>
  <c r="Q68" i="6"/>
  <c r="P68" i="6"/>
  <c r="W67" i="6"/>
  <c r="V67" i="6"/>
  <c r="U67" i="6"/>
  <c r="T67" i="6"/>
  <c r="S67" i="6"/>
  <c r="R67" i="6"/>
  <c r="Q67" i="6"/>
  <c r="P67" i="6"/>
  <c r="W66" i="6"/>
  <c r="V66" i="6"/>
  <c r="U66" i="6"/>
  <c r="T66" i="6"/>
  <c r="S66" i="6"/>
  <c r="R66" i="6"/>
  <c r="Q66" i="6"/>
  <c r="P66" i="6"/>
  <c r="W65" i="6"/>
  <c r="V65" i="6"/>
  <c r="U65" i="6"/>
  <c r="T65" i="6"/>
  <c r="S65" i="6"/>
  <c r="R65" i="6"/>
  <c r="Q65" i="6"/>
  <c r="P65" i="6"/>
  <c r="W64" i="6"/>
  <c r="V64" i="6"/>
  <c r="U64" i="6"/>
  <c r="T64" i="6"/>
  <c r="S64" i="6"/>
  <c r="R64" i="6"/>
  <c r="Q64" i="6"/>
  <c r="P64" i="6"/>
  <c r="W63" i="6"/>
  <c r="V63" i="6"/>
  <c r="U63" i="6"/>
  <c r="T63" i="6"/>
  <c r="S63" i="6"/>
  <c r="R63" i="6"/>
  <c r="Q63" i="6"/>
  <c r="P63" i="6"/>
  <c r="W62" i="6"/>
  <c r="V62" i="6"/>
  <c r="U62" i="6"/>
  <c r="T62" i="6"/>
  <c r="S62" i="6"/>
  <c r="R62" i="6"/>
  <c r="Q62" i="6"/>
  <c r="P62" i="6"/>
  <c r="W61" i="6"/>
  <c r="V61" i="6"/>
  <c r="U61" i="6"/>
  <c r="T61" i="6"/>
  <c r="S61" i="6"/>
  <c r="R61" i="6"/>
  <c r="Q61" i="6"/>
  <c r="P61" i="6"/>
  <c r="W60" i="6"/>
  <c r="V60" i="6"/>
  <c r="U60" i="6"/>
  <c r="T60" i="6"/>
  <c r="S60" i="6"/>
  <c r="R60" i="6"/>
  <c r="Q60" i="6"/>
  <c r="P60" i="6"/>
  <c r="W59" i="6"/>
  <c r="V59" i="6"/>
  <c r="U59" i="6"/>
  <c r="T59" i="6"/>
  <c r="S59" i="6"/>
  <c r="R59" i="6"/>
  <c r="Q59" i="6"/>
  <c r="P59" i="6"/>
  <c r="W58" i="6"/>
  <c r="V58" i="6"/>
  <c r="U58" i="6"/>
  <c r="T58" i="6"/>
  <c r="S58" i="6"/>
  <c r="R58" i="6"/>
  <c r="Q58" i="6"/>
  <c r="P58" i="6"/>
  <c r="W57" i="6"/>
  <c r="V57" i="6"/>
  <c r="U57" i="6"/>
  <c r="T57" i="6"/>
  <c r="S57" i="6"/>
  <c r="R57" i="6"/>
  <c r="Q57" i="6"/>
  <c r="P57" i="6"/>
  <c r="W56" i="6"/>
  <c r="V56" i="6"/>
  <c r="U56" i="6"/>
  <c r="T56" i="6"/>
  <c r="S56" i="6"/>
  <c r="R56" i="6"/>
  <c r="Q56" i="6"/>
  <c r="P56" i="6"/>
  <c r="W55" i="6"/>
  <c r="V55" i="6"/>
  <c r="U55" i="6"/>
  <c r="T55" i="6"/>
  <c r="S55" i="6"/>
  <c r="R55" i="6"/>
  <c r="Q55" i="6"/>
  <c r="P55" i="6"/>
  <c r="W54" i="6"/>
  <c r="V54" i="6"/>
  <c r="U54" i="6"/>
  <c r="T54" i="6"/>
  <c r="S54" i="6"/>
  <c r="R54" i="6"/>
  <c r="Q54" i="6"/>
  <c r="P54" i="6"/>
  <c r="W53" i="6"/>
  <c r="V53" i="6"/>
  <c r="U53" i="6"/>
  <c r="T53" i="6"/>
  <c r="S53" i="6"/>
  <c r="R53" i="6"/>
  <c r="Q53" i="6"/>
  <c r="P53" i="6"/>
  <c r="W52" i="6"/>
  <c r="V52" i="6"/>
  <c r="U52" i="6"/>
  <c r="T52" i="6"/>
  <c r="S52" i="6"/>
  <c r="R52" i="6"/>
  <c r="Q52" i="6"/>
  <c r="P52" i="6"/>
  <c r="W51" i="6"/>
  <c r="V51" i="6"/>
  <c r="U51" i="6"/>
  <c r="T51" i="6"/>
  <c r="S51" i="6"/>
  <c r="R51" i="6"/>
  <c r="Q51" i="6"/>
  <c r="P51" i="6"/>
  <c r="W50" i="6"/>
  <c r="V50" i="6"/>
  <c r="U50" i="6"/>
  <c r="T50" i="6"/>
  <c r="S50" i="6"/>
  <c r="R50" i="6"/>
  <c r="Q50" i="6"/>
  <c r="P50" i="6"/>
  <c r="W49" i="6"/>
  <c r="V49" i="6"/>
  <c r="U49" i="6"/>
  <c r="T49" i="6"/>
  <c r="S49" i="6"/>
  <c r="R49" i="6"/>
  <c r="Q49" i="6"/>
  <c r="P49" i="6"/>
  <c r="W48" i="6"/>
  <c r="V48" i="6"/>
  <c r="U48" i="6"/>
  <c r="T48" i="6"/>
  <c r="S48" i="6"/>
  <c r="R48" i="6"/>
  <c r="Q48" i="6"/>
  <c r="P48" i="6"/>
  <c r="W47" i="6"/>
  <c r="V47" i="6"/>
  <c r="U47" i="6"/>
  <c r="T47" i="6"/>
  <c r="S47" i="6"/>
  <c r="R47" i="6"/>
  <c r="Q47" i="6"/>
  <c r="P47" i="6"/>
  <c r="W46" i="6"/>
  <c r="V46" i="6"/>
  <c r="U46" i="6"/>
  <c r="T46" i="6"/>
  <c r="S46" i="6"/>
  <c r="R46" i="6"/>
  <c r="Q46" i="6"/>
  <c r="P46" i="6"/>
  <c r="W45" i="6"/>
  <c r="V45" i="6"/>
  <c r="U45" i="6"/>
  <c r="T45" i="6"/>
  <c r="S45" i="6"/>
  <c r="R45" i="6"/>
  <c r="Q45" i="6"/>
  <c r="P45" i="6"/>
  <c r="W44" i="6"/>
  <c r="V44" i="6"/>
  <c r="U44" i="6"/>
  <c r="T44" i="6"/>
  <c r="S44" i="6"/>
  <c r="R44" i="6"/>
  <c r="Q44" i="6"/>
  <c r="P44" i="6"/>
  <c r="W43" i="6"/>
  <c r="V43" i="6"/>
  <c r="U43" i="6"/>
  <c r="T43" i="6"/>
  <c r="S43" i="6"/>
  <c r="R43" i="6"/>
  <c r="Q43" i="6"/>
  <c r="P43" i="6"/>
  <c r="W42" i="6"/>
  <c r="V42" i="6"/>
  <c r="U42" i="6"/>
  <c r="T42" i="6"/>
  <c r="S42" i="6"/>
  <c r="R42" i="6"/>
  <c r="Q42" i="6"/>
  <c r="P42" i="6"/>
  <c r="W41" i="6"/>
  <c r="V41" i="6"/>
  <c r="U41" i="6"/>
  <c r="T41" i="6"/>
  <c r="S41" i="6"/>
  <c r="R41" i="6"/>
  <c r="Q41" i="6"/>
  <c r="P41" i="6"/>
  <c r="W40" i="6"/>
  <c r="V40" i="6"/>
  <c r="U40" i="6"/>
  <c r="T40" i="6"/>
  <c r="S40" i="6"/>
  <c r="R40" i="6"/>
  <c r="Q40" i="6"/>
  <c r="P40" i="6"/>
  <c r="W39" i="6"/>
  <c r="V39" i="6"/>
  <c r="U39" i="6"/>
  <c r="T39" i="6"/>
  <c r="S39" i="6"/>
  <c r="R39" i="6"/>
  <c r="Q39" i="6"/>
  <c r="P39" i="6"/>
  <c r="W38" i="6"/>
  <c r="V38" i="6"/>
  <c r="U38" i="6"/>
  <c r="T38" i="6"/>
  <c r="S38" i="6"/>
  <c r="R38" i="6"/>
  <c r="Q38" i="6"/>
  <c r="P38" i="6"/>
  <c r="W37" i="6"/>
  <c r="V37" i="6"/>
  <c r="U37" i="6"/>
  <c r="T37" i="6"/>
  <c r="S37" i="6"/>
  <c r="R37" i="6"/>
  <c r="Q37" i="6"/>
  <c r="P37" i="6"/>
  <c r="W36" i="6"/>
  <c r="V36" i="6"/>
  <c r="U36" i="6"/>
  <c r="T36" i="6"/>
  <c r="S36" i="6"/>
  <c r="R36" i="6"/>
  <c r="Q36" i="6"/>
  <c r="P36" i="6"/>
  <c r="W35" i="6"/>
  <c r="V35" i="6"/>
  <c r="U35" i="6"/>
  <c r="T35" i="6"/>
  <c r="S35" i="6"/>
  <c r="R35" i="6"/>
  <c r="Q35" i="6"/>
  <c r="P35" i="6"/>
  <c r="W34" i="6"/>
  <c r="V34" i="6"/>
  <c r="U34" i="6"/>
  <c r="T34" i="6"/>
  <c r="S34" i="6"/>
  <c r="R34" i="6"/>
  <c r="Q34" i="6"/>
  <c r="P34" i="6"/>
  <c r="W33" i="6"/>
  <c r="V33" i="6"/>
  <c r="U33" i="6"/>
  <c r="T33" i="6"/>
  <c r="S33" i="6"/>
  <c r="R33" i="6"/>
  <c r="Q33" i="6"/>
  <c r="P33" i="6"/>
  <c r="W32" i="6"/>
  <c r="V32" i="6"/>
  <c r="U32" i="6"/>
  <c r="T32" i="6"/>
  <c r="S32" i="6"/>
  <c r="R32" i="6"/>
  <c r="Q32" i="6"/>
  <c r="P32" i="6"/>
  <c r="W31" i="6"/>
  <c r="V31" i="6"/>
  <c r="U31" i="6"/>
  <c r="T31" i="6"/>
  <c r="S31" i="6"/>
  <c r="R31" i="6"/>
  <c r="Q31" i="6"/>
  <c r="P31" i="6"/>
  <c r="W30" i="6"/>
  <c r="V30" i="6"/>
  <c r="U30" i="6"/>
  <c r="T30" i="6"/>
  <c r="S30" i="6"/>
  <c r="R30" i="6"/>
  <c r="Q30" i="6"/>
  <c r="P30" i="6"/>
  <c r="W29" i="6"/>
  <c r="V29" i="6"/>
  <c r="U29" i="6"/>
  <c r="T29" i="6"/>
  <c r="S29" i="6"/>
  <c r="R29" i="6"/>
  <c r="Q29" i="6"/>
  <c r="P29" i="6"/>
  <c r="W28" i="6"/>
  <c r="V28" i="6"/>
  <c r="U28" i="6"/>
  <c r="T28" i="6"/>
  <c r="S28" i="6"/>
  <c r="R28" i="6"/>
  <c r="Q28" i="6"/>
  <c r="P28" i="6"/>
  <c r="W27" i="6"/>
  <c r="V27" i="6"/>
  <c r="U27" i="6"/>
  <c r="T27" i="6"/>
  <c r="S27" i="6"/>
  <c r="R27" i="6"/>
  <c r="Q27" i="6"/>
  <c r="P27" i="6"/>
  <c r="W26" i="6"/>
  <c r="V26" i="6"/>
  <c r="U26" i="6"/>
  <c r="T26" i="6"/>
  <c r="S26" i="6"/>
  <c r="R26" i="6"/>
  <c r="Q26" i="6"/>
  <c r="P26" i="6"/>
  <c r="W25" i="6"/>
  <c r="V25" i="6"/>
  <c r="U25" i="6"/>
  <c r="T25" i="6"/>
  <c r="S25" i="6"/>
  <c r="R25" i="6"/>
  <c r="Q25" i="6"/>
  <c r="P25" i="6"/>
  <c r="W24" i="6"/>
  <c r="V24" i="6"/>
  <c r="U24" i="6"/>
  <c r="T24" i="6"/>
  <c r="S24" i="6"/>
  <c r="R24" i="6"/>
  <c r="Q24" i="6"/>
  <c r="P24" i="6"/>
  <c r="W23" i="6"/>
  <c r="V23" i="6"/>
  <c r="U23" i="6"/>
  <c r="T23" i="6"/>
  <c r="S23" i="6"/>
  <c r="R23" i="6"/>
  <c r="Q23" i="6"/>
  <c r="P23" i="6"/>
  <c r="W22" i="6"/>
  <c r="V22" i="6"/>
  <c r="U22" i="6"/>
  <c r="T22" i="6"/>
  <c r="S22" i="6"/>
  <c r="R22" i="6"/>
  <c r="Q22" i="6"/>
  <c r="P22" i="6"/>
  <c r="W21" i="6"/>
  <c r="V21" i="6"/>
  <c r="U21" i="6"/>
  <c r="T21" i="6"/>
  <c r="S21" i="6"/>
  <c r="R21" i="6"/>
  <c r="Q21" i="6"/>
  <c r="P21" i="6"/>
  <c r="W20" i="6"/>
  <c r="V20" i="6"/>
  <c r="U20" i="6"/>
  <c r="T20" i="6"/>
  <c r="S20" i="6"/>
  <c r="R20" i="6"/>
  <c r="Q20" i="6"/>
  <c r="P20" i="6"/>
  <c r="W19" i="6"/>
  <c r="V19" i="6"/>
  <c r="U19" i="6"/>
  <c r="T19" i="6"/>
  <c r="S19" i="6"/>
  <c r="R19" i="6"/>
  <c r="Q19" i="6"/>
  <c r="P19" i="6"/>
  <c r="W18" i="6"/>
  <c r="V18" i="6"/>
  <c r="U18" i="6"/>
  <c r="T18" i="6"/>
  <c r="S18" i="6"/>
  <c r="R18" i="6"/>
  <c r="Q18" i="6"/>
  <c r="P18" i="6"/>
  <c r="W17" i="6"/>
  <c r="V17" i="6"/>
  <c r="U17" i="6"/>
  <c r="T17" i="6"/>
  <c r="S17" i="6"/>
  <c r="R17" i="6"/>
  <c r="Q17" i="6"/>
  <c r="P17" i="6"/>
  <c r="W16" i="6"/>
  <c r="V16" i="6"/>
  <c r="U16" i="6"/>
  <c r="T16" i="6"/>
  <c r="S16" i="6"/>
  <c r="R16" i="6"/>
  <c r="Q16" i="6"/>
  <c r="P16" i="6"/>
  <c r="W15" i="6"/>
  <c r="V15" i="6"/>
  <c r="U15" i="6"/>
  <c r="T15" i="6"/>
  <c r="S15" i="6"/>
  <c r="R15" i="6"/>
  <c r="Q15" i="6"/>
  <c r="P15" i="6"/>
  <c r="W14" i="6"/>
  <c r="V14" i="6"/>
  <c r="U14" i="6"/>
  <c r="T14" i="6"/>
  <c r="S14" i="6"/>
  <c r="R14" i="6"/>
  <c r="Q14" i="6"/>
  <c r="P14" i="6"/>
  <c r="W13" i="6"/>
  <c r="V13" i="6"/>
  <c r="U13" i="6"/>
  <c r="T13" i="6"/>
  <c r="S13" i="6"/>
  <c r="R13" i="6"/>
  <c r="Q13" i="6"/>
  <c r="P13" i="6"/>
  <c r="W12" i="6"/>
  <c r="V12" i="6"/>
  <c r="U12" i="6"/>
  <c r="T12" i="6"/>
  <c r="S12" i="6"/>
  <c r="R12" i="6"/>
  <c r="Q12" i="6"/>
  <c r="P12" i="6"/>
  <c r="W11" i="6"/>
  <c r="V11" i="6"/>
  <c r="U11" i="6"/>
  <c r="T11" i="6"/>
  <c r="S11" i="6"/>
  <c r="R11" i="6"/>
  <c r="Q11" i="6"/>
  <c r="P11" i="6"/>
  <c r="W10" i="6"/>
  <c r="V10" i="6"/>
  <c r="U10" i="6"/>
  <c r="T10" i="6"/>
  <c r="S10" i="6"/>
  <c r="R10" i="6"/>
  <c r="Q10" i="6"/>
  <c r="P10" i="6"/>
  <c r="W9" i="6"/>
  <c r="V9" i="6"/>
  <c r="U9" i="6"/>
  <c r="T9" i="6"/>
  <c r="S9" i="6"/>
  <c r="R9" i="6"/>
  <c r="Q9" i="6"/>
  <c r="P9" i="6"/>
  <c r="W8" i="6"/>
  <c r="V8" i="6"/>
  <c r="U8" i="6"/>
  <c r="T8" i="6"/>
  <c r="S8" i="6"/>
  <c r="R8" i="6"/>
  <c r="Q8" i="6"/>
  <c r="P8" i="6"/>
  <c r="W7" i="6"/>
  <c r="V7" i="6"/>
  <c r="U7" i="6"/>
  <c r="T7" i="6"/>
  <c r="S7" i="6"/>
  <c r="R7" i="6"/>
  <c r="Q7" i="6"/>
  <c r="P7" i="6"/>
  <c r="W6" i="6"/>
  <c r="V6" i="6"/>
  <c r="U6" i="6"/>
  <c r="T6" i="6"/>
  <c r="S6" i="6"/>
  <c r="R6" i="6"/>
  <c r="Q6" i="6"/>
  <c r="P6" i="6"/>
  <c r="W5" i="6"/>
  <c r="V5" i="6"/>
  <c r="U5" i="6"/>
  <c r="T5" i="6"/>
  <c r="S5" i="6"/>
  <c r="R5" i="6"/>
  <c r="Q5" i="6"/>
  <c r="P5" i="6"/>
  <c r="W4" i="6"/>
  <c r="V4" i="6"/>
  <c r="U4" i="6"/>
  <c r="T4" i="6"/>
  <c r="S4" i="6"/>
  <c r="R4" i="6"/>
  <c r="Q4" i="6"/>
  <c r="P4" i="6"/>
  <c r="W3" i="6"/>
  <c r="V3" i="6"/>
  <c r="U3" i="6"/>
  <c r="T3" i="6"/>
  <c r="S3" i="6"/>
  <c r="R3" i="6"/>
  <c r="Q3" i="6"/>
  <c r="P3" i="6"/>
  <c r="W2" i="6"/>
  <c r="V2" i="6"/>
  <c r="U2" i="6"/>
  <c r="T2" i="6"/>
  <c r="S2" i="6"/>
  <c r="R2" i="6"/>
  <c r="Q2" i="6"/>
  <c r="P2" i="6"/>
  <c r="Y2" i="6" l="1"/>
  <c r="Y3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91" i="6"/>
  <c r="F9" i="7"/>
  <c r="D9" i="7"/>
  <c r="Q1" i="6"/>
  <c r="R1" i="6"/>
  <c r="S1" i="6"/>
  <c r="T1" i="6"/>
  <c r="U1" i="6"/>
  <c r="V1" i="6"/>
  <c r="W1" i="6"/>
  <c r="P1" i="6"/>
  <c r="N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Цветан Руменов Цонев</author>
  </authors>
  <commentList>
    <comment ref="O1" authorId="0" shapeId="0" xr:uid="{4285F532-48FB-45D4-A6B1-C10D4D6C1B8A}">
      <text>
        <r>
          <rPr>
            <b/>
            <sz val="9"/>
            <color indexed="81"/>
            <rFont val="Tahoma"/>
            <family val="2"/>
            <charset val="204"/>
          </rPr>
          <t>Цветан Руменов Цонев:</t>
        </r>
        <r>
          <rPr>
            <sz val="9"/>
            <color indexed="81"/>
            <rFont val="Tahoma"/>
            <family val="2"/>
            <charset val="204"/>
          </rPr>
          <t xml:space="preserve">
max value 15</t>
        </r>
      </text>
    </comment>
  </commentList>
</comments>
</file>

<file path=xl/sharedStrings.xml><?xml version="1.0" encoding="utf-8"?>
<sst xmlns="http://schemas.openxmlformats.org/spreadsheetml/2006/main" count="266" uniqueCount="47">
  <si>
    <t>Datum OD:</t>
  </si>
  <si>
    <t>Datum DO:</t>
  </si>
  <si>
    <t>Datum</t>
  </si>
  <si>
    <t>Sofia</t>
  </si>
  <si>
    <t xml:space="preserve"> </t>
  </si>
  <si>
    <t>Time</t>
  </si>
  <si>
    <t>Conditions</t>
  </si>
  <si>
    <t>Temp.</t>
  </si>
  <si>
    <t>Feels Like</t>
  </si>
  <si>
    <t>Amount</t>
  </si>
  <si>
    <t>Cloud Cover</t>
  </si>
  <si>
    <t>Dew Point</t>
  </si>
  <si>
    <t>Humidity</t>
  </si>
  <si>
    <t>Wind</t>
  </si>
  <si>
    <t>\USERS\CEZ_BG\CEZ_ELECTRO\Prediction\Meteo\Pr_Data_WU_Sofia\Pr_WU_Sofia</t>
  </si>
  <si>
    <t>\USERS\CEZ_BG\CEZ_ELECTRO\Prediction\Meteo\Pr_Data_WU_Sofia\Feels_like_WU</t>
  </si>
  <si>
    <t>\USERS\CEZ_BG\CEZ_ELECTRO\Prediction\Meteo\Pr_Data_WU_Sofia\Prec_amount_WU</t>
  </si>
  <si>
    <t>\USERS\CEZ_BG\CEZ_ELECTRO\Prediction\Meteo\Pr_Data_WU_Sofia\Sofia_WU_prec</t>
  </si>
  <si>
    <t>\USERS\CEZ_BG\CEZ_ELECTRO\Prediction\Meteo\Pr_Data_WU_Sofia\Cloud_cover_WU</t>
  </si>
  <si>
    <t>\USERS\CEZ_BG\CEZ_ELECTRO\Prediction\Meteo\Pr_Data_WU_Sofia\Dew_point_WU</t>
  </si>
  <si>
    <t>\USERS\CEZ_BG\CEZ_ELECTRO\Prediction\Meteo\Pr_Data_WU_Sofia\Humidity_WU</t>
  </si>
  <si>
    <t>\USERS\CEZ_BG\CEZ_ELECTRO\Prediction\Meteo\Pr_Data_WU_Sofia\Wind_speed_WU</t>
  </si>
  <si>
    <t>Fog Probability</t>
  </si>
  <si>
    <t>Pressure</t>
  </si>
  <si>
    <t>Precipitation</t>
  </si>
  <si>
    <t>Direction</t>
  </si>
  <si>
    <t>ENE</t>
  </si>
  <si>
    <t>Showers</t>
  </si>
  <si>
    <t>E</t>
  </si>
  <si>
    <t>ESE</t>
  </si>
  <si>
    <t>SE</t>
  </si>
  <si>
    <t>NNE</t>
  </si>
  <si>
    <t>NE</t>
  </si>
  <si>
    <t>N</t>
  </si>
  <si>
    <t>Scattered Thunderstorms</t>
  </si>
  <si>
    <t>Partly Cloudy</t>
  </si>
  <si>
    <t>Thunderstorms</t>
  </si>
  <si>
    <t>Mostly Sunny</t>
  </si>
  <si>
    <t>Sunny</t>
  </si>
  <si>
    <t>Clear</t>
  </si>
  <si>
    <t>Mostly Clear</t>
  </si>
  <si>
    <t>NNW</t>
  </si>
  <si>
    <t>SW</t>
  </si>
  <si>
    <t>W</t>
  </si>
  <si>
    <t>WNW</t>
  </si>
  <si>
    <t>NW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</si>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</sst>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"/>
    <numFmt numFmtId="165" formatCode="0.000"/>
    <numFmt numFmtId="166" formatCode="0\°\C"/>
    <numFmt numFmtId="167" formatCode="0.00&quot; mm&quot;"/>
    <numFmt numFmtId="168" formatCode="0&quot; km/h&quot;"/>
    <numFmt numFmtId="169" formatCode="0.00&quot; hPa&quot;"/>
  </numFmts>
  <fonts count="14">
    <font>
      <sz val="10"/>
      <name val="Arial CE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9"/>
      <name val="Arial CE"/>
      <family val="2"/>
      <charset val="238"/>
    </font>
    <font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name val="Arial CE"/>
      <charset val="238"/>
    </font>
    <font>
      <sz val="10"/>
      <name val="Arial CE"/>
      <charset val="204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0"/>
      <name val="Arial CE"/>
      <charset val="204"/>
    </font>
    <font>
      <b/>
      <sz val="14"/>
      <color rgb="FF339966"/>
      <name val="Arial CE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8" fillId="0" borderId="0"/>
    <xf numFmtId="0" fontId="8" fillId="0" borderId="0"/>
    <xf numFmtId="0" fontId="4" fillId="0" borderId="0"/>
    <xf numFmtId="0" fontId="5" fillId="2" borderId="1" applyNumberFormat="0" applyProtection="0">
      <alignment horizontal="left" vertical="center" indent="1"/>
    </xf>
  </cellStyleXfs>
  <cellXfs count="36">
    <xf numFmtId="0" fontId="0" fillId="0" borderId="0" xfId="0"/>
    <xf numFmtId="1" fontId="3" fillId="0" borderId="0" xfId="0" applyNumberFormat="1" applyFont="1"/>
    <xf numFmtId="0" fontId="0" fillId="0" borderId="0" xfId="0" applyAlignment="1">
      <alignment horizontal="center"/>
    </xf>
    <xf numFmtId="0" fontId="0" fillId="0" borderId="2" xfId="0" applyBorder="1" applyAlignment="1">
      <alignment wrapText="1"/>
    </xf>
    <xf numFmtId="0" fontId="7" fillId="0" borderId="2" xfId="0" applyFont="1" applyBorder="1" applyAlignment="1">
      <alignment wrapText="1"/>
    </xf>
    <xf numFmtId="2" fontId="0" fillId="0" borderId="0" xfId="0" applyNumberFormat="1"/>
    <xf numFmtId="0" fontId="0" fillId="4" borderId="0" xfId="0" applyFill="1"/>
    <xf numFmtId="0" fontId="10" fillId="5" borderId="0" xfId="0" applyFont="1" applyFill="1"/>
    <xf numFmtId="14" fontId="0" fillId="0" borderId="0" xfId="0" applyNumberFormat="1"/>
    <xf numFmtId="0" fontId="0" fillId="6" borderId="0" xfId="0" applyFill="1" applyAlignment="1">
      <alignment horizontal="center"/>
    </xf>
    <xf numFmtId="0" fontId="10" fillId="6" borderId="0" xfId="0" applyFont="1" applyFill="1" applyAlignment="1">
      <alignment horizontal="center"/>
    </xf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8" fontId="0" fillId="0" borderId="0" xfId="0" applyNumberFormat="1"/>
    <xf numFmtId="0" fontId="4" fillId="0" borderId="0" xfId="4"/>
    <xf numFmtId="0" fontId="0" fillId="0" borderId="0" xfId="0" applyAlignment="1">
      <alignment wrapText="1"/>
    </xf>
    <xf numFmtId="165" fontId="0" fillId="0" borderId="0" xfId="0" applyNumberFormat="1"/>
    <xf numFmtId="14" fontId="2" fillId="0" borderId="0" xfId="0" applyNumberFormat="1" applyFont="1"/>
    <xf numFmtId="164" fontId="0" fillId="0" borderId="0" xfId="0" applyNumberFormat="1"/>
    <xf numFmtId="0" fontId="7" fillId="5" borderId="0" xfId="0" applyFont="1" applyFill="1"/>
    <xf numFmtId="0" fontId="0" fillId="0" borderId="3" xfId="0" applyBorder="1" applyAlignment="1">
      <alignment wrapText="1"/>
    </xf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14" fontId="0" fillId="3" borderId="2" xfId="0" applyNumberFormat="1" applyFill="1" applyBorder="1"/>
    <xf numFmtId="3" fontId="1" fillId="0" borderId="2" xfId="0" applyNumberFormat="1" applyFont="1" applyBorder="1" applyAlignment="1">
      <alignment horizontal="center" vertical="center"/>
    </xf>
    <xf numFmtId="0" fontId="0" fillId="0" borderId="4" xfId="0" applyBorder="1" applyAlignment="1"/>
    <xf numFmtId="0" fontId="0" fillId="0" borderId="3" xfId="0" applyBorder="1" applyAlignment="1"/>
    <xf numFmtId="0" fontId="0" fillId="0" borderId="0" xfId="0"/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</cellXfs>
  <cellStyles count="6">
    <cellStyle name="Normal" xfId="0" builtinId="0"/>
    <cellStyle name="Normal 2" xfId="1" xr:uid="{00000000-0005-0000-0000-000002000000}"/>
    <cellStyle name="Normal 3" xfId="2" xr:uid="{00000000-0005-0000-0000-000003000000}"/>
    <cellStyle name="Normal 4" xfId="3" xr:uid="{00000000-0005-0000-0000-000004000000}"/>
    <cellStyle name="normální_Main" xfId="4" xr:uid="{00000000-0005-0000-0000-000005000000}"/>
    <cellStyle name="SAPBEXstdItem" xfId="5" xr:uid="{00000000-0005-0000-0000-000006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FF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99CC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</xdr:row>
          <xdr:rowOff>66675</xdr:rowOff>
        </xdr:from>
        <xdr:to>
          <xdr:col>14</xdr:col>
          <xdr:colOff>438150</xdr:colOff>
          <xdr:row>4</xdr:row>
          <xdr:rowOff>133350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Data from WU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32770" name="AutoShape 2" descr="Cloudy">
          <a:extLst>
            <a:ext uri="{FF2B5EF4-FFF2-40B4-BE49-F238E27FC236}">
              <a16:creationId xmlns:a16="http://schemas.microsoft.com/office/drawing/2014/main" id="{00000000-0008-0000-0000-00000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32771" name="AutoShape 3" descr="Cloudy">
          <a:extLst>
            <a:ext uri="{FF2B5EF4-FFF2-40B4-BE49-F238E27FC236}">
              <a16:creationId xmlns:a16="http://schemas.microsoft.com/office/drawing/2014/main" id="{00000000-0008-0000-0000-00000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32772" name="AutoShape 4" descr="Mostly Cloudy">
          <a:extLst>
            <a:ext uri="{FF2B5EF4-FFF2-40B4-BE49-F238E27FC236}">
              <a16:creationId xmlns:a16="http://schemas.microsoft.com/office/drawing/2014/main" id="{00000000-0008-0000-0000-00000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32773" name="AutoShape 5" descr="Partly Cloudy">
          <a:extLst>
            <a:ext uri="{FF2B5EF4-FFF2-40B4-BE49-F238E27FC236}">
              <a16:creationId xmlns:a16="http://schemas.microsoft.com/office/drawing/2014/main" id="{00000000-0008-0000-0000-00000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32774" name="AutoShape 6" descr="Mostly Cloudy">
          <a:extLst>
            <a:ext uri="{FF2B5EF4-FFF2-40B4-BE49-F238E27FC236}">
              <a16:creationId xmlns:a16="http://schemas.microsoft.com/office/drawing/2014/main" id="{00000000-0008-0000-0000-00000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32775" name="AutoShape 7" descr="Mostly Cloudy">
          <a:extLst>
            <a:ext uri="{FF2B5EF4-FFF2-40B4-BE49-F238E27FC236}">
              <a16:creationId xmlns:a16="http://schemas.microsoft.com/office/drawing/2014/main" id="{00000000-0008-0000-0000-00000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32776" name="AutoShape 8" descr="Partly Cloudy">
          <a:extLst>
            <a:ext uri="{FF2B5EF4-FFF2-40B4-BE49-F238E27FC236}">
              <a16:creationId xmlns:a16="http://schemas.microsoft.com/office/drawing/2014/main" id="{00000000-0008-0000-0000-00000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2777" name="AutoShape 9" descr="Partly Cloudy">
          <a:extLst>
            <a:ext uri="{FF2B5EF4-FFF2-40B4-BE49-F238E27FC236}">
              <a16:creationId xmlns:a16="http://schemas.microsoft.com/office/drawing/2014/main" id="{00000000-0008-0000-0000-00000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32778" name="AutoShape 10" descr="Partly Cloudy">
          <a:extLst>
            <a:ext uri="{FF2B5EF4-FFF2-40B4-BE49-F238E27FC236}">
              <a16:creationId xmlns:a16="http://schemas.microsoft.com/office/drawing/2014/main" id="{00000000-0008-0000-0000-00000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32779" name="AutoShape 11" descr="Partly Cloudy">
          <a:extLst>
            <a:ext uri="{FF2B5EF4-FFF2-40B4-BE49-F238E27FC236}">
              <a16:creationId xmlns:a16="http://schemas.microsoft.com/office/drawing/2014/main" id="{00000000-0008-0000-0000-00000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32780" name="AutoShape 12" descr="Partly Cloudy">
          <a:extLst>
            <a:ext uri="{FF2B5EF4-FFF2-40B4-BE49-F238E27FC236}">
              <a16:creationId xmlns:a16="http://schemas.microsoft.com/office/drawing/2014/main" id="{00000000-0008-0000-0000-00000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32781" name="AutoShape 13" descr="Partly Cloudy">
          <a:extLst>
            <a:ext uri="{FF2B5EF4-FFF2-40B4-BE49-F238E27FC236}">
              <a16:creationId xmlns:a16="http://schemas.microsoft.com/office/drawing/2014/main" id="{00000000-0008-0000-0000-00000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32782" name="AutoShape 14" descr="Partly Cloudy">
          <a:extLst>
            <a:ext uri="{FF2B5EF4-FFF2-40B4-BE49-F238E27FC236}">
              <a16:creationId xmlns:a16="http://schemas.microsoft.com/office/drawing/2014/main" id="{00000000-0008-0000-0000-00000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32783" name="AutoShape 15" descr="Partly Cloudy">
          <a:extLst>
            <a:ext uri="{FF2B5EF4-FFF2-40B4-BE49-F238E27FC236}">
              <a16:creationId xmlns:a16="http://schemas.microsoft.com/office/drawing/2014/main" id="{00000000-0008-0000-0000-00000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32784" name="AutoShape 16" descr="Partly Cloudy">
          <a:extLst>
            <a:ext uri="{FF2B5EF4-FFF2-40B4-BE49-F238E27FC236}">
              <a16:creationId xmlns:a16="http://schemas.microsoft.com/office/drawing/2014/main" id="{00000000-0008-0000-0000-00001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32785" name="AutoShape 17" descr="Partly Cloudy">
          <a:extLst>
            <a:ext uri="{FF2B5EF4-FFF2-40B4-BE49-F238E27FC236}">
              <a16:creationId xmlns:a16="http://schemas.microsoft.com/office/drawing/2014/main" id="{00000000-0008-0000-0000-00001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32786" name="AutoShape 18" descr="Partly Cloudy">
          <a:extLst>
            <a:ext uri="{FF2B5EF4-FFF2-40B4-BE49-F238E27FC236}">
              <a16:creationId xmlns:a16="http://schemas.microsoft.com/office/drawing/2014/main" id="{00000000-0008-0000-0000-00001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32787" name="AutoShape 19" descr="Partly Cloudy">
          <a:extLst>
            <a:ext uri="{FF2B5EF4-FFF2-40B4-BE49-F238E27FC236}">
              <a16:creationId xmlns:a16="http://schemas.microsoft.com/office/drawing/2014/main" id="{00000000-0008-0000-0000-00001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32788" name="AutoShape 20" descr="Partly Cloudy">
          <a:extLst>
            <a:ext uri="{FF2B5EF4-FFF2-40B4-BE49-F238E27FC236}">
              <a16:creationId xmlns:a16="http://schemas.microsoft.com/office/drawing/2014/main" id="{00000000-0008-0000-0000-00001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32789" name="AutoShape 21" descr="Partly Cloudy">
          <a:extLst>
            <a:ext uri="{FF2B5EF4-FFF2-40B4-BE49-F238E27FC236}">
              <a16:creationId xmlns:a16="http://schemas.microsoft.com/office/drawing/2014/main" id="{00000000-0008-0000-0000-00001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32790" name="AutoShape 22" descr="Partly Cloudy">
          <a:extLst>
            <a:ext uri="{FF2B5EF4-FFF2-40B4-BE49-F238E27FC236}">
              <a16:creationId xmlns:a16="http://schemas.microsoft.com/office/drawing/2014/main" id="{00000000-0008-0000-0000-00001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32791" name="AutoShape 23" descr="Partly Cloudy">
          <a:extLst>
            <a:ext uri="{FF2B5EF4-FFF2-40B4-BE49-F238E27FC236}">
              <a16:creationId xmlns:a16="http://schemas.microsoft.com/office/drawing/2014/main" id="{00000000-0008-0000-0000-00001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32792" name="AutoShape 24" descr="Partly Cloudy">
          <a:extLst>
            <a:ext uri="{FF2B5EF4-FFF2-40B4-BE49-F238E27FC236}">
              <a16:creationId xmlns:a16="http://schemas.microsoft.com/office/drawing/2014/main" id="{00000000-0008-0000-0000-00001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32793" name="AutoShape 25" descr="Partly Cloudy">
          <a:extLst>
            <a:ext uri="{FF2B5EF4-FFF2-40B4-BE49-F238E27FC236}">
              <a16:creationId xmlns:a16="http://schemas.microsoft.com/office/drawing/2014/main" id="{00000000-0008-0000-0000-00001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32794" name="AutoShape 26" descr="Partly Cloudy">
          <a:extLst>
            <a:ext uri="{FF2B5EF4-FFF2-40B4-BE49-F238E27FC236}">
              <a16:creationId xmlns:a16="http://schemas.microsoft.com/office/drawing/2014/main" id="{00000000-0008-0000-0000-00001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32795" name="AutoShape 27" descr="Partly Cloudy">
          <a:extLst>
            <a:ext uri="{FF2B5EF4-FFF2-40B4-BE49-F238E27FC236}">
              <a16:creationId xmlns:a16="http://schemas.microsoft.com/office/drawing/2014/main" id="{00000000-0008-0000-0000-00001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32796" name="AutoShape 28" descr="Partly Cloudy">
          <a:extLst>
            <a:ext uri="{FF2B5EF4-FFF2-40B4-BE49-F238E27FC236}">
              <a16:creationId xmlns:a16="http://schemas.microsoft.com/office/drawing/2014/main" id="{00000000-0008-0000-0000-00001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32797" name="AutoShape 29" descr="Partly Cloudy">
          <a:extLst>
            <a:ext uri="{FF2B5EF4-FFF2-40B4-BE49-F238E27FC236}">
              <a16:creationId xmlns:a16="http://schemas.microsoft.com/office/drawing/2014/main" id="{00000000-0008-0000-0000-00001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32798" name="AutoShape 30" descr="Partly Cloudy">
          <a:extLst>
            <a:ext uri="{FF2B5EF4-FFF2-40B4-BE49-F238E27FC236}">
              <a16:creationId xmlns:a16="http://schemas.microsoft.com/office/drawing/2014/main" id="{00000000-0008-0000-0000-00001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32799" name="AutoShape 31" descr="Mostly Clear">
          <a:extLst>
            <a:ext uri="{FF2B5EF4-FFF2-40B4-BE49-F238E27FC236}">
              <a16:creationId xmlns:a16="http://schemas.microsoft.com/office/drawing/2014/main" id="{00000000-0008-0000-0000-00001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32800" name="AutoShape 32" descr="Mostly Clear">
          <a:extLst>
            <a:ext uri="{FF2B5EF4-FFF2-40B4-BE49-F238E27FC236}">
              <a16:creationId xmlns:a16="http://schemas.microsoft.com/office/drawing/2014/main" id="{00000000-0008-0000-0000-00002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2801" name="AutoShape 33" descr="Mostly Sunny">
          <a:extLst>
            <a:ext uri="{FF2B5EF4-FFF2-40B4-BE49-F238E27FC236}">
              <a16:creationId xmlns:a16="http://schemas.microsoft.com/office/drawing/2014/main" id="{00000000-0008-0000-0000-00002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32802" name="AutoShape 34" descr="Sunny">
          <a:extLst>
            <a:ext uri="{FF2B5EF4-FFF2-40B4-BE49-F238E27FC236}">
              <a16:creationId xmlns:a16="http://schemas.microsoft.com/office/drawing/2014/main" id="{00000000-0008-0000-0000-00002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32803" name="AutoShape 35" descr="Sunny">
          <a:extLst>
            <a:ext uri="{FF2B5EF4-FFF2-40B4-BE49-F238E27FC236}">
              <a16:creationId xmlns:a16="http://schemas.microsoft.com/office/drawing/2014/main" id="{00000000-0008-0000-0000-00002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32804" name="AutoShape 36" descr="Sunny">
          <a:extLst>
            <a:ext uri="{FF2B5EF4-FFF2-40B4-BE49-F238E27FC236}">
              <a16:creationId xmlns:a16="http://schemas.microsoft.com/office/drawing/2014/main" id="{00000000-0008-0000-0000-00002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32805" name="AutoShape 37" descr="Sunny">
          <a:extLst>
            <a:ext uri="{FF2B5EF4-FFF2-40B4-BE49-F238E27FC236}">
              <a16:creationId xmlns:a16="http://schemas.microsoft.com/office/drawing/2014/main" id="{00000000-0008-0000-0000-00002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32806" name="AutoShape 38" descr="Sunny">
          <a:extLst>
            <a:ext uri="{FF2B5EF4-FFF2-40B4-BE49-F238E27FC236}">
              <a16:creationId xmlns:a16="http://schemas.microsoft.com/office/drawing/2014/main" id="{00000000-0008-0000-0000-00002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32807" name="AutoShape 39" descr="Sunny">
          <a:extLst>
            <a:ext uri="{FF2B5EF4-FFF2-40B4-BE49-F238E27FC236}">
              <a16:creationId xmlns:a16="http://schemas.microsoft.com/office/drawing/2014/main" id="{00000000-0008-0000-0000-00002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32808" name="AutoShape 40" descr="Sunny">
          <a:extLst>
            <a:ext uri="{FF2B5EF4-FFF2-40B4-BE49-F238E27FC236}">
              <a16:creationId xmlns:a16="http://schemas.microsoft.com/office/drawing/2014/main" id="{00000000-0008-0000-0000-00002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32809" name="AutoShape 41" descr="Sunny">
          <a:extLst>
            <a:ext uri="{FF2B5EF4-FFF2-40B4-BE49-F238E27FC236}">
              <a16:creationId xmlns:a16="http://schemas.microsoft.com/office/drawing/2014/main" id="{00000000-0008-0000-0000-00002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32810" name="AutoShape 42" descr="Sunny">
          <a:extLst>
            <a:ext uri="{FF2B5EF4-FFF2-40B4-BE49-F238E27FC236}">
              <a16:creationId xmlns:a16="http://schemas.microsoft.com/office/drawing/2014/main" id="{00000000-0008-0000-0000-00002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32811" name="AutoShape 43" descr="Sunny">
          <a:extLst>
            <a:ext uri="{FF2B5EF4-FFF2-40B4-BE49-F238E27FC236}">
              <a16:creationId xmlns:a16="http://schemas.microsoft.com/office/drawing/2014/main" id="{00000000-0008-0000-0000-00002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32812" name="AutoShape 44" descr="Sunny">
          <a:extLst>
            <a:ext uri="{FF2B5EF4-FFF2-40B4-BE49-F238E27FC236}">
              <a16:creationId xmlns:a16="http://schemas.microsoft.com/office/drawing/2014/main" id="{00000000-0008-0000-0000-00002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32813" name="AutoShape 45" descr="Sunny">
          <a:extLst>
            <a:ext uri="{FF2B5EF4-FFF2-40B4-BE49-F238E27FC236}">
              <a16:creationId xmlns:a16="http://schemas.microsoft.com/office/drawing/2014/main" id="{00000000-0008-0000-0000-00002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32814" name="AutoShape 46" descr="Clear">
          <a:extLst>
            <a:ext uri="{FF2B5EF4-FFF2-40B4-BE49-F238E27FC236}">
              <a16:creationId xmlns:a16="http://schemas.microsoft.com/office/drawing/2014/main" id="{00000000-0008-0000-0000-00002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32815" name="AutoShape 47" descr="Clear">
          <a:extLst>
            <a:ext uri="{FF2B5EF4-FFF2-40B4-BE49-F238E27FC236}">
              <a16:creationId xmlns:a16="http://schemas.microsoft.com/office/drawing/2014/main" id="{00000000-0008-0000-0000-00002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32816" name="AutoShape 48" descr="Clear">
          <a:extLst>
            <a:ext uri="{FF2B5EF4-FFF2-40B4-BE49-F238E27FC236}">
              <a16:creationId xmlns:a16="http://schemas.microsoft.com/office/drawing/2014/main" id="{00000000-0008-0000-0000-00003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32817" name="AutoShape 49" descr="Clear">
          <a:extLst>
            <a:ext uri="{FF2B5EF4-FFF2-40B4-BE49-F238E27FC236}">
              <a16:creationId xmlns:a16="http://schemas.microsoft.com/office/drawing/2014/main" id="{00000000-0008-0000-0000-00003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137160</xdr:rowOff>
    </xdr:to>
    <xdr:sp macro="" textlink="">
      <xdr:nvSpPr>
        <xdr:cNvPr id="2" name="AutoShape 2" descr="Cle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137160</xdr:rowOff>
    </xdr:to>
    <xdr:sp macro="" textlink="">
      <xdr:nvSpPr>
        <xdr:cNvPr id="3" name="AutoShape 3" descr="Cl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137160</xdr:rowOff>
    </xdr:to>
    <xdr:sp macro="" textlink="">
      <xdr:nvSpPr>
        <xdr:cNvPr id="4" name="AutoShape 4" descr="Clea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137160</xdr:rowOff>
    </xdr:to>
    <xdr:sp macro="" textlink="">
      <xdr:nvSpPr>
        <xdr:cNvPr id="5" name="AutoShape 5" descr="Cle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70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137160</xdr:rowOff>
    </xdr:to>
    <xdr:sp macro="" textlink="">
      <xdr:nvSpPr>
        <xdr:cNvPr id="6" name="AutoShape 6" descr="Cle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137160</xdr:rowOff>
    </xdr:to>
    <xdr:sp macro="" textlink="">
      <xdr:nvSpPr>
        <xdr:cNvPr id="7" name="AutoShape 7" descr="Mostly Clea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5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137160</xdr:rowOff>
    </xdr:to>
    <xdr:sp macro="" textlink="">
      <xdr:nvSpPr>
        <xdr:cNvPr id="8" name="AutoShape 8" descr="Clea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73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137160</xdr:rowOff>
    </xdr:to>
    <xdr:sp macro="" textlink="">
      <xdr:nvSpPr>
        <xdr:cNvPr id="9" name="AutoShape 9" descr="Clea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4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137160</xdr:rowOff>
    </xdr:to>
    <xdr:sp macro="" textlink="">
      <xdr:nvSpPr>
        <xdr:cNvPr id="10" name="AutoShape 10" descr="Sunny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8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137160</xdr:rowOff>
    </xdr:to>
    <xdr:sp macro="" textlink="">
      <xdr:nvSpPr>
        <xdr:cNvPr id="11" name="AutoShape 11" descr="Sunny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137160</xdr:rowOff>
    </xdr:to>
    <xdr:sp macro="" textlink="">
      <xdr:nvSpPr>
        <xdr:cNvPr id="12" name="AutoShape 12" descr="Sunny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137160</xdr:rowOff>
    </xdr:to>
    <xdr:sp macro="" textlink="">
      <xdr:nvSpPr>
        <xdr:cNvPr id="13" name="AutoShape 13" descr="Sunny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137160</xdr:rowOff>
    </xdr:to>
    <xdr:sp macro="" textlink="">
      <xdr:nvSpPr>
        <xdr:cNvPr id="14" name="AutoShape 14" descr="Sunny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137160</xdr:rowOff>
    </xdr:to>
    <xdr:sp macro="" textlink="">
      <xdr:nvSpPr>
        <xdr:cNvPr id="15" name="AutoShape 15" descr="Sunny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6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137160</xdr:rowOff>
    </xdr:to>
    <xdr:sp macro="" textlink="">
      <xdr:nvSpPr>
        <xdr:cNvPr id="16" name="AutoShape 16" descr="Sunny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137160</xdr:rowOff>
    </xdr:to>
    <xdr:sp macro="" textlink="">
      <xdr:nvSpPr>
        <xdr:cNvPr id="17" name="AutoShape 17" descr="Mostly Sunny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137160</xdr:rowOff>
    </xdr:to>
    <xdr:sp macro="" textlink="">
      <xdr:nvSpPr>
        <xdr:cNvPr id="18" name="AutoShape 18" descr="Sunny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49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137160</xdr:rowOff>
    </xdr:to>
    <xdr:sp macro="" textlink="">
      <xdr:nvSpPr>
        <xdr:cNvPr id="19" name="AutoShape 19" descr="Sunny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1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137160</xdr:rowOff>
    </xdr:to>
    <xdr:sp macro="" textlink="">
      <xdr:nvSpPr>
        <xdr:cNvPr id="20" name="AutoShape 20" descr="Sunny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5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137160</xdr:rowOff>
    </xdr:to>
    <xdr:sp macro="" textlink="">
      <xdr:nvSpPr>
        <xdr:cNvPr id="21" name="AutoShape 21" descr="Clear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137160</xdr:rowOff>
    </xdr:to>
    <xdr:sp macro="" textlink="">
      <xdr:nvSpPr>
        <xdr:cNvPr id="22" name="AutoShape 22" descr="Cle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0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137160</xdr:rowOff>
    </xdr:to>
    <xdr:sp macro="" textlink="">
      <xdr:nvSpPr>
        <xdr:cNvPr id="23" name="AutoShape 23" descr="Clea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88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137160</xdr:rowOff>
    </xdr:to>
    <xdr:sp macro="" textlink="">
      <xdr:nvSpPr>
        <xdr:cNvPr id="24" name="AutoShape 24" descr="Cl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5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137160</xdr:rowOff>
    </xdr:to>
    <xdr:sp macro="" textlink="">
      <xdr:nvSpPr>
        <xdr:cNvPr id="25" name="AutoShape 25" descr="Clear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26" name="AutoShape 2" descr="Cloudy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27" name="AutoShape 3" descr="Showers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28" name="AutoShape 4" descr="Light Rai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29" name="AutoShape 5" descr="Light Rain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30" name="AutoShape 6" descr="Light Rai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31" name="AutoShape 7" descr="Light Rai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32768" name="AutoShape 8" descr="Light Rain">
          <a:extLst>
            <a:ext uri="{FF2B5EF4-FFF2-40B4-BE49-F238E27FC236}">
              <a16:creationId xmlns:a16="http://schemas.microsoft.com/office/drawing/2014/main" id="{00000000-0008-0000-0000-00000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2818" name="AutoShape 9" descr="Light Rain">
          <a:extLst>
            <a:ext uri="{FF2B5EF4-FFF2-40B4-BE49-F238E27FC236}">
              <a16:creationId xmlns:a16="http://schemas.microsoft.com/office/drawing/2014/main" id="{00000000-0008-0000-0000-00003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32819" name="AutoShape 10" descr="Light Rain">
          <a:extLst>
            <a:ext uri="{FF2B5EF4-FFF2-40B4-BE49-F238E27FC236}">
              <a16:creationId xmlns:a16="http://schemas.microsoft.com/office/drawing/2014/main" id="{00000000-0008-0000-0000-00003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32820" name="AutoShape 11" descr="Light Rain">
          <a:extLst>
            <a:ext uri="{FF2B5EF4-FFF2-40B4-BE49-F238E27FC236}">
              <a16:creationId xmlns:a16="http://schemas.microsoft.com/office/drawing/2014/main" id="{00000000-0008-0000-0000-00003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32821" name="AutoShape 12" descr="Light Rain">
          <a:extLst>
            <a:ext uri="{FF2B5EF4-FFF2-40B4-BE49-F238E27FC236}">
              <a16:creationId xmlns:a16="http://schemas.microsoft.com/office/drawing/2014/main" id="{00000000-0008-0000-0000-00003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32822" name="AutoShape 13" descr="Showers">
          <a:extLst>
            <a:ext uri="{FF2B5EF4-FFF2-40B4-BE49-F238E27FC236}">
              <a16:creationId xmlns:a16="http://schemas.microsoft.com/office/drawing/2014/main" id="{00000000-0008-0000-0000-00003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32823" name="AutoShape 14" descr="Showers">
          <a:extLst>
            <a:ext uri="{FF2B5EF4-FFF2-40B4-BE49-F238E27FC236}">
              <a16:creationId xmlns:a16="http://schemas.microsoft.com/office/drawing/2014/main" id="{00000000-0008-0000-0000-00003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32824" name="AutoShape 15" descr="Few Showers">
          <a:extLst>
            <a:ext uri="{FF2B5EF4-FFF2-40B4-BE49-F238E27FC236}">
              <a16:creationId xmlns:a16="http://schemas.microsoft.com/office/drawing/2014/main" id="{00000000-0008-0000-0000-00003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32825" name="AutoShape 16" descr="Cloudy">
          <a:extLst>
            <a:ext uri="{FF2B5EF4-FFF2-40B4-BE49-F238E27FC236}">
              <a16:creationId xmlns:a16="http://schemas.microsoft.com/office/drawing/2014/main" id="{00000000-0008-0000-0000-00003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32826" name="AutoShape 17" descr="Cloudy">
          <a:extLst>
            <a:ext uri="{FF2B5EF4-FFF2-40B4-BE49-F238E27FC236}">
              <a16:creationId xmlns:a16="http://schemas.microsoft.com/office/drawing/2014/main" id="{00000000-0008-0000-0000-00003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32827" name="AutoShape 18" descr="Cloudy">
          <a:extLst>
            <a:ext uri="{FF2B5EF4-FFF2-40B4-BE49-F238E27FC236}">
              <a16:creationId xmlns:a16="http://schemas.microsoft.com/office/drawing/2014/main" id="{00000000-0008-0000-0000-00003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32828" name="AutoShape 19" descr="Cloudy">
          <a:extLst>
            <a:ext uri="{FF2B5EF4-FFF2-40B4-BE49-F238E27FC236}">
              <a16:creationId xmlns:a16="http://schemas.microsoft.com/office/drawing/2014/main" id="{00000000-0008-0000-0000-00003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32829" name="AutoShape 20" descr="Cloudy">
          <a:extLst>
            <a:ext uri="{FF2B5EF4-FFF2-40B4-BE49-F238E27FC236}">
              <a16:creationId xmlns:a16="http://schemas.microsoft.com/office/drawing/2014/main" id="{00000000-0008-0000-0000-00003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32830" name="AutoShape 21" descr="Cloudy">
          <a:extLst>
            <a:ext uri="{FF2B5EF4-FFF2-40B4-BE49-F238E27FC236}">
              <a16:creationId xmlns:a16="http://schemas.microsoft.com/office/drawing/2014/main" id="{00000000-0008-0000-0000-00003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32831" name="AutoShape 22" descr="Cloudy">
          <a:extLst>
            <a:ext uri="{FF2B5EF4-FFF2-40B4-BE49-F238E27FC236}">
              <a16:creationId xmlns:a16="http://schemas.microsoft.com/office/drawing/2014/main" id="{00000000-0008-0000-0000-00003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32832" name="AutoShape 23" descr="Mostly Cloudy">
          <a:extLst>
            <a:ext uri="{FF2B5EF4-FFF2-40B4-BE49-F238E27FC236}">
              <a16:creationId xmlns:a16="http://schemas.microsoft.com/office/drawing/2014/main" id="{00000000-0008-0000-0000-00004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32833" name="AutoShape 24" descr="Mostly Cloudy">
          <a:extLst>
            <a:ext uri="{FF2B5EF4-FFF2-40B4-BE49-F238E27FC236}">
              <a16:creationId xmlns:a16="http://schemas.microsoft.com/office/drawing/2014/main" id="{00000000-0008-0000-0000-00004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32834" name="AutoShape 25" descr="Mostly Cloudy">
          <a:extLst>
            <a:ext uri="{FF2B5EF4-FFF2-40B4-BE49-F238E27FC236}">
              <a16:creationId xmlns:a16="http://schemas.microsoft.com/office/drawing/2014/main" id="{00000000-0008-0000-0000-00004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137160</xdr:rowOff>
    </xdr:to>
    <xdr:sp macro="" textlink="">
      <xdr:nvSpPr>
        <xdr:cNvPr id="32835" name="AutoShape 2" descr="Mostly Cloudy">
          <a:extLst>
            <a:ext uri="{FF2B5EF4-FFF2-40B4-BE49-F238E27FC236}">
              <a16:creationId xmlns:a16="http://schemas.microsoft.com/office/drawing/2014/main" id="{00000000-0008-0000-0000-00004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137160</xdr:rowOff>
    </xdr:to>
    <xdr:sp macro="" textlink="">
      <xdr:nvSpPr>
        <xdr:cNvPr id="32836" name="AutoShape 3" descr="Mostly Cloudy">
          <a:extLst>
            <a:ext uri="{FF2B5EF4-FFF2-40B4-BE49-F238E27FC236}">
              <a16:creationId xmlns:a16="http://schemas.microsoft.com/office/drawing/2014/main" id="{00000000-0008-0000-0000-00004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137160</xdr:rowOff>
    </xdr:to>
    <xdr:sp macro="" textlink="">
      <xdr:nvSpPr>
        <xdr:cNvPr id="32837" name="AutoShape 4" descr="Mostly Cloudy">
          <a:extLst>
            <a:ext uri="{FF2B5EF4-FFF2-40B4-BE49-F238E27FC236}">
              <a16:creationId xmlns:a16="http://schemas.microsoft.com/office/drawing/2014/main" id="{00000000-0008-0000-0000-00004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137160</xdr:rowOff>
    </xdr:to>
    <xdr:sp macro="" textlink="">
      <xdr:nvSpPr>
        <xdr:cNvPr id="32838" name="AutoShape 5" descr="Mostly Cloudy">
          <a:extLst>
            <a:ext uri="{FF2B5EF4-FFF2-40B4-BE49-F238E27FC236}">
              <a16:creationId xmlns:a16="http://schemas.microsoft.com/office/drawing/2014/main" id="{00000000-0008-0000-0000-00004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70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137160</xdr:rowOff>
    </xdr:to>
    <xdr:sp macro="" textlink="">
      <xdr:nvSpPr>
        <xdr:cNvPr id="32839" name="AutoShape 6" descr="Cloudy">
          <a:extLst>
            <a:ext uri="{FF2B5EF4-FFF2-40B4-BE49-F238E27FC236}">
              <a16:creationId xmlns:a16="http://schemas.microsoft.com/office/drawing/2014/main" id="{00000000-0008-0000-0000-00004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137160</xdr:rowOff>
    </xdr:to>
    <xdr:sp macro="" textlink="">
      <xdr:nvSpPr>
        <xdr:cNvPr id="32840" name="AutoShape 7" descr="Cloudy">
          <a:extLst>
            <a:ext uri="{FF2B5EF4-FFF2-40B4-BE49-F238E27FC236}">
              <a16:creationId xmlns:a16="http://schemas.microsoft.com/office/drawing/2014/main" id="{00000000-0008-0000-0000-00004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5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137160</xdr:rowOff>
    </xdr:to>
    <xdr:sp macro="" textlink="">
      <xdr:nvSpPr>
        <xdr:cNvPr id="32841" name="AutoShape 8" descr="Cloudy">
          <a:extLst>
            <a:ext uri="{FF2B5EF4-FFF2-40B4-BE49-F238E27FC236}">
              <a16:creationId xmlns:a16="http://schemas.microsoft.com/office/drawing/2014/main" id="{00000000-0008-0000-0000-00004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73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137160</xdr:rowOff>
    </xdr:to>
    <xdr:sp macro="" textlink="">
      <xdr:nvSpPr>
        <xdr:cNvPr id="32842" name="AutoShape 9" descr="Cloudy">
          <a:extLst>
            <a:ext uri="{FF2B5EF4-FFF2-40B4-BE49-F238E27FC236}">
              <a16:creationId xmlns:a16="http://schemas.microsoft.com/office/drawing/2014/main" id="{00000000-0008-0000-0000-00004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4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137160</xdr:rowOff>
    </xdr:to>
    <xdr:sp macro="" textlink="">
      <xdr:nvSpPr>
        <xdr:cNvPr id="32843" name="AutoShape 10" descr="Cloudy">
          <a:extLst>
            <a:ext uri="{FF2B5EF4-FFF2-40B4-BE49-F238E27FC236}">
              <a16:creationId xmlns:a16="http://schemas.microsoft.com/office/drawing/2014/main" id="{00000000-0008-0000-0000-00004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8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137160</xdr:rowOff>
    </xdr:to>
    <xdr:sp macro="" textlink="">
      <xdr:nvSpPr>
        <xdr:cNvPr id="32844" name="AutoShape 11" descr="Cloudy">
          <a:extLst>
            <a:ext uri="{FF2B5EF4-FFF2-40B4-BE49-F238E27FC236}">
              <a16:creationId xmlns:a16="http://schemas.microsoft.com/office/drawing/2014/main" id="{00000000-0008-0000-0000-00004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137160</xdr:rowOff>
    </xdr:to>
    <xdr:sp macro="" textlink="">
      <xdr:nvSpPr>
        <xdr:cNvPr id="32845" name="AutoShape 12" descr="Mostly Cloudy">
          <a:extLst>
            <a:ext uri="{FF2B5EF4-FFF2-40B4-BE49-F238E27FC236}">
              <a16:creationId xmlns:a16="http://schemas.microsoft.com/office/drawing/2014/main" id="{00000000-0008-0000-0000-00004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137160</xdr:rowOff>
    </xdr:to>
    <xdr:sp macro="" textlink="">
      <xdr:nvSpPr>
        <xdr:cNvPr id="32846" name="AutoShape 13" descr="Cloudy">
          <a:extLst>
            <a:ext uri="{FF2B5EF4-FFF2-40B4-BE49-F238E27FC236}">
              <a16:creationId xmlns:a16="http://schemas.microsoft.com/office/drawing/2014/main" id="{00000000-0008-0000-0000-00004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137160</xdr:rowOff>
    </xdr:to>
    <xdr:sp macro="" textlink="">
      <xdr:nvSpPr>
        <xdr:cNvPr id="32847" name="AutoShape 14" descr="Cloudy">
          <a:extLst>
            <a:ext uri="{FF2B5EF4-FFF2-40B4-BE49-F238E27FC236}">
              <a16:creationId xmlns:a16="http://schemas.microsoft.com/office/drawing/2014/main" id="{00000000-0008-0000-0000-00004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137160</xdr:rowOff>
    </xdr:to>
    <xdr:sp macro="" textlink="">
      <xdr:nvSpPr>
        <xdr:cNvPr id="32848" name="AutoShape 15" descr="Cloudy">
          <a:extLst>
            <a:ext uri="{FF2B5EF4-FFF2-40B4-BE49-F238E27FC236}">
              <a16:creationId xmlns:a16="http://schemas.microsoft.com/office/drawing/2014/main" id="{00000000-0008-0000-0000-00005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6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137160</xdr:rowOff>
    </xdr:to>
    <xdr:sp macro="" textlink="">
      <xdr:nvSpPr>
        <xdr:cNvPr id="32849" name="AutoShape 16" descr="Cloudy">
          <a:extLst>
            <a:ext uri="{FF2B5EF4-FFF2-40B4-BE49-F238E27FC236}">
              <a16:creationId xmlns:a16="http://schemas.microsoft.com/office/drawing/2014/main" id="{00000000-0008-0000-0000-00005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137160</xdr:rowOff>
    </xdr:to>
    <xdr:sp macro="" textlink="">
      <xdr:nvSpPr>
        <xdr:cNvPr id="32850" name="AutoShape 17" descr="Cloudy">
          <a:extLst>
            <a:ext uri="{FF2B5EF4-FFF2-40B4-BE49-F238E27FC236}">
              <a16:creationId xmlns:a16="http://schemas.microsoft.com/office/drawing/2014/main" id="{00000000-0008-0000-0000-00005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137160</xdr:rowOff>
    </xdr:to>
    <xdr:sp macro="" textlink="">
      <xdr:nvSpPr>
        <xdr:cNvPr id="32851" name="AutoShape 18" descr="Cloudy">
          <a:extLst>
            <a:ext uri="{FF2B5EF4-FFF2-40B4-BE49-F238E27FC236}">
              <a16:creationId xmlns:a16="http://schemas.microsoft.com/office/drawing/2014/main" id="{00000000-0008-0000-0000-00005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49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137160</xdr:rowOff>
    </xdr:to>
    <xdr:sp macro="" textlink="">
      <xdr:nvSpPr>
        <xdr:cNvPr id="32852" name="AutoShape 19" descr="Cloudy">
          <a:extLst>
            <a:ext uri="{FF2B5EF4-FFF2-40B4-BE49-F238E27FC236}">
              <a16:creationId xmlns:a16="http://schemas.microsoft.com/office/drawing/2014/main" id="{00000000-0008-0000-0000-00005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1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137160</xdr:rowOff>
    </xdr:to>
    <xdr:sp macro="" textlink="">
      <xdr:nvSpPr>
        <xdr:cNvPr id="32853" name="AutoShape 20" descr="Cloudy">
          <a:extLst>
            <a:ext uri="{FF2B5EF4-FFF2-40B4-BE49-F238E27FC236}">
              <a16:creationId xmlns:a16="http://schemas.microsoft.com/office/drawing/2014/main" id="{00000000-0008-0000-0000-00005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5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137160</xdr:rowOff>
    </xdr:to>
    <xdr:sp macro="" textlink="">
      <xdr:nvSpPr>
        <xdr:cNvPr id="32854" name="AutoShape 21" descr="Cloudy">
          <a:extLst>
            <a:ext uri="{FF2B5EF4-FFF2-40B4-BE49-F238E27FC236}">
              <a16:creationId xmlns:a16="http://schemas.microsoft.com/office/drawing/2014/main" id="{00000000-0008-0000-0000-00005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137160</xdr:rowOff>
    </xdr:to>
    <xdr:sp macro="" textlink="">
      <xdr:nvSpPr>
        <xdr:cNvPr id="32855" name="AutoShape 22" descr="Cloudy">
          <a:extLst>
            <a:ext uri="{FF2B5EF4-FFF2-40B4-BE49-F238E27FC236}">
              <a16:creationId xmlns:a16="http://schemas.microsoft.com/office/drawing/2014/main" id="{00000000-0008-0000-0000-00005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0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137160</xdr:rowOff>
    </xdr:to>
    <xdr:sp macro="" textlink="">
      <xdr:nvSpPr>
        <xdr:cNvPr id="32856" name="AutoShape 23" descr="Cloudy">
          <a:extLst>
            <a:ext uri="{FF2B5EF4-FFF2-40B4-BE49-F238E27FC236}">
              <a16:creationId xmlns:a16="http://schemas.microsoft.com/office/drawing/2014/main" id="{00000000-0008-0000-0000-00005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88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137160</xdr:rowOff>
    </xdr:to>
    <xdr:sp macro="" textlink="">
      <xdr:nvSpPr>
        <xdr:cNvPr id="32857" name="AutoShape 24" descr="Cloudy">
          <a:extLst>
            <a:ext uri="{FF2B5EF4-FFF2-40B4-BE49-F238E27FC236}">
              <a16:creationId xmlns:a16="http://schemas.microsoft.com/office/drawing/2014/main" id="{00000000-0008-0000-0000-00005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5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137160</xdr:rowOff>
    </xdr:to>
    <xdr:sp macro="" textlink="">
      <xdr:nvSpPr>
        <xdr:cNvPr id="32858" name="AutoShape 25" descr="Cloudy">
          <a:extLst>
            <a:ext uri="{FF2B5EF4-FFF2-40B4-BE49-F238E27FC236}">
              <a16:creationId xmlns:a16="http://schemas.microsoft.com/office/drawing/2014/main" id="{00000000-0008-0000-0000-00005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137160</xdr:rowOff>
    </xdr:to>
    <xdr:sp macro="" textlink="">
      <xdr:nvSpPr>
        <xdr:cNvPr id="32859" name="AutoShape 2" descr="Clear">
          <a:extLst>
            <a:ext uri="{FF2B5EF4-FFF2-40B4-BE49-F238E27FC236}">
              <a16:creationId xmlns:a16="http://schemas.microsoft.com/office/drawing/2014/main" id="{00000000-0008-0000-0000-00005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137160</xdr:rowOff>
    </xdr:to>
    <xdr:sp macro="" textlink="">
      <xdr:nvSpPr>
        <xdr:cNvPr id="32860" name="AutoShape 3" descr="Clear">
          <a:extLst>
            <a:ext uri="{FF2B5EF4-FFF2-40B4-BE49-F238E27FC236}">
              <a16:creationId xmlns:a16="http://schemas.microsoft.com/office/drawing/2014/main" id="{00000000-0008-0000-0000-00005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137160</xdr:rowOff>
    </xdr:to>
    <xdr:sp macro="" textlink="">
      <xdr:nvSpPr>
        <xdr:cNvPr id="32861" name="AutoShape 4" descr="Clear">
          <a:extLst>
            <a:ext uri="{FF2B5EF4-FFF2-40B4-BE49-F238E27FC236}">
              <a16:creationId xmlns:a16="http://schemas.microsoft.com/office/drawing/2014/main" id="{00000000-0008-0000-0000-00005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137160</xdr:rowOff>
    </xdr:to>
    <xdr:sp macro="" textlink="">
      <xdr:nvSpPr>
        <xdr:cNvPr id="32862" name="AutoShape 5" descr="Clear">
          <a:extLst>
            <a:ext uri="{FF2B5EF4-FFF2-40B4-BE49-F238E27FC236}">
              <a16:creationId xmlns:a16="http://schemas.microsoft.com/office/drawing/2014/main" id="{00000000-0008-0000-0000-00005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70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137160</xdr:rowOff>
    </xdr:to>
    <xdr:sp macro="" textlink="">
      <xdr:nvSpPr>
        <xdr:cNvPr id="32863" name="AutoShape 6" descr="Clear">
          <a:extLst>
            <a:ext uri="{FF2B5EF4-FFF2-40B4-BE49-F238E27FC236}">
              <a16:creationId xmlns:a16="http://schemas.microsoft.com/office/drawing/2014/main" id="{00000000-0008-0000-0000-00005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137160</xdr:rowOff>
    </xdr:to>
    <xdr:sp macro="" textlink="">
      <xdr:nvSpPr>
        <xdr:cNvPr id="32864" name="AutoShape 7" descr="Clear">
          <a:extLst>
            <a:ext uri="{FF2B5EF4-FFF2-40B4-BE49-F238E27FC236}">
              <a16:creationId xmlns:a16="http://schemas.microsoft.com/office/drawing/2014/main" id="{00000000-0008-0000-0000-00006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5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137160</xdr:rowOff>
    </xdr:to>
    <xdr:sp macro="" textlink="">
      <xdr:nvSpPr>
        <xdr:cNvPr id="32865" name="AutoShape 8" descr="Clear">
          <a:extLst>
            <a:ext uri="{FF2B5EF4-FFF2-40B4-BE49-F238E27FC236}">
              <a16:creationId xmlns:a16="http://schemas.microsoft.com/office/drawing/2014/main" id="{00000000-0008-0000-0000-00006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73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137160</xdr:rowOff>
    </xdr:to>
    <xdr:sp macro="" textlink="">
      <xdr:nvSpPr>
        <xdr:cNvPr id="32866" name="AutoShape 9" descr="Clear">
          <a:extLst>
            <a:ext uri="{FF2B5EF4-FFF2-40B4-BE49-F238E27FC236}">
              <a16:creationId xmlns:a16="http://schemas.microsoft.com/office/drawing/2014/main" id="{00000000-0008-0000-0000-00006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4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137160</xdr:rowOff>
    </xdr:to>
    <xdr:sp macro="" textlink="">
      <xdr:nvSpPr>
        <xdr:cNvPr id="32867" name="AutoShape 10" descr="Sunny">
          <a:extLst>
            <a:ext uri="{FF2B5EF4-FFF2-40B4-BE49-F238E27FC236}">
              <a16:creationId xmlns:a16="http://schemas.microsoft.com/office/drawing/2014/main" id="{00000000-0008-0000-0000-00006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8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137160</xdr:rowOff>
    </xdr:to>
    <xdr:sp macro="" textlink="">
      <xdr:nvSpPr>
        <xdr:cNvPr id="32868" name="AutoShape 11" descr="Sunny">
          <a:extLst>
            <a:ext uri="{FF2B5EF4-FFF2-40B4-BE49-F238E27FC236}">
              <a16:creationId xmlns:a16="http://schemas.microsoft.com/office/drawing/2014/main" id="{00000000-0008-0000-0000-00006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137160</xdr:rowOff>
    </xdr:to>
    <xdr:sp macro="" textlink="">
      <xdr:nvSpPr>
        <xdr:cNvPr id="32869" name="AutoShape 12" descr="Sunny">
          <a:extLst>
            <a:ext uri="{FF2B5EF4-FFF2-40B4-BE49-F238E27FC236}">
              <a16:creationId xmlns:a16="http://schemas.microsoft.com/office/drawing/2014/main" id="{00000000-0008-0000-0000-00006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137160</xdr:rowOff>
    </xdr:to>
    <xdr:sp macro="" textlink="">
      <xdr:nvSpPr>
        <xdr:cNvPr id="32870" name="AutoShape 13" descr="Sunny">
          <a:extLst>
            <a:ext uri="{FF2B5EF4-FFF2-40B4-BE49-F238E27FC236}">
              <a16:creationId xmlns:a16="http://schemas.microsoft.com/office/drawing/2014/main" id="{00000000-0008-0000-0000-00006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137160</xdr:rowOff>
    </xdr:to>
    <xdr:sp macro="" textlink="">
      <xdr:nvSpPr>
        <xdr:cNvPr id="32871" name="AutoShape 14" descr="Sunny">
          <a:extLst>
            <a:ext uri="{FF2B5EF4-FFF2-40B4-BE49-F238E27FC236}">
              <a16:creationId xmlns:a16="http://schemas.microsoft.com/office/drawing/2014/main" id="{00000000-0008-0000-0000-00006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137160</xdr:rowOff>
    </xdr:to>
    <xdr:sp macro="" textlink="">
      <xdr:nvSpPr>
        <xdr:cNvPr id="32872" name="AutoShape 15" descr="Mostly Sunny">
          <a:extLst>
            <a:ext uri="{FF2B5EF4-FFF2-40B4-BE49-F238E27FC236}">
              <a16:creationId xmlns:a16="http://schemas.microsoft.com/office/drawing/2014/main" id="{00000000-0008-0000-0000-00006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6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137160</xdr:rowOff>
    </xdr:to>
    <xdr:sp macro="" textlink="">
      <xdr:nvSpPr>
        <xdr:cNvPr id="32873" name="AutoShape 16" descr="Mostly Sunny">
          <a:extLst>
            <a:ext uri="{FF2B5EF4-FFF2-40B4-BE49-F238E27FC236}">
              <a16:creationId xmlns:a16="http://schemas.microsoft.com/office/drawing/2014/main" id="{00000000-0008-0000-0000-00006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137160</xdr:rowOff>
    </xdr:to>
    <xdr:sp macro="" textlink="">
      <xdr:nvSpPr>
        <xdr:cNvPr id="32874" name="AutoShape 17" descr="Sunny">
          <a:extLst>
            <a:ext uri="{FF2B5EF4-FFF2-40B4-BE49-F238E27FC236}">
              <a16:creationId xmlns:a16="http://schemas.microsoft.com/office/drawing/2014/main" id="{00000000-0008-0000-0000-00006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137160</xdr:rowOff>
    </xdr:to>
    <xdr:sp macro="" textlink="">
      <xdr:nvSpPr>
        <xdr:cNvPr id="32875" name="AutoShape 18" descr="Sunny">
          <a:extLst>
            <a:ext uri="{FF2B5EF4-FFF2-40B4-BE49-F238E27FC236}">
              <a16:creationId xmlns:a16="http://schemas.microsoft.com/office/drawing/2014/main" id="{00000000-0008-0000-0000-00006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49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137160</xdr:rowOff>
    </xdr:to>
    <xdr:sp macro="" textlink="">
      <xdr:nvSpPr>
        <xdr:cNvPr id="32876" name="AutoShape 19" descr="Sunny">
          <a:extLst>
            <a:ext uri="{FF2B5EF4-FFF2-40B4-BE49-F238E27FC236}">
              <a16:creationId xmlns:a16="http://schemas.microsoft.com/office/drawing/2014/main" id="{00000000-0008-0000-0000-00006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1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137160</xdr:rowOff>
    </xdr:to>
    <xdr:sp macro="" textlink="">
      <xdr:nvSpPr>
        <xdr:cNvPr id="32877" name="AutoShape 20" descr="Clear">
          <a:extLst>
            <a:ext uri="{FF2B5EF4-FFF2-40B4-BE49-F238E27FC236}">
              <a16:creationId xmlns:a16="http://schemas.microsoft.com/office/drawing/2014/main" id="{00000000-0008-0000-0000-00006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5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137160</xdr:rowOff>
    </xdr:to>
    <xdr:sp macro="" textlink="">
      <xdr:nvSpPr>
        <xdr:cNvPr id="32878" name="AutoShape 21" descr="Clear">
          <a:extLst>
            <a:ext uri="{FF2B5EF4-FFF2-40B4-BE49-F238E27FC236}">
              <a16:creationId xmlns:a16="http://schemas.microsoft.com/office/drawing/2014/main" id="{00000000-0008-0000-0000-00006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137160</xdr:rowOff>
    </xdr:to>
    <xdr:sp macro="" textlink="">
      <xdr:nvSpPr>
        <xdr:cNvPr id="32879" name="AutoShape 22" descr="Clear">
          <a:extLst>
            <a:ext uri="{FF2B5EF4-FFF2-40B4-BE49-F238E27FC236}">
              <a16:creationId xmlns:a16="http://schemas.microsoft.com/office/drawing/2014/main" id="{00000000-0008-0000-0000-00006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0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137160</xdr:rowOff>
    </xdr:to>
    <xdr:sp macro="" textlink="">
      <xdr:nvSpPr>
        <xdr:cNvPr id="32880" name="AutoShape 23" descr="Clear">
          <a:extLst>
            <a:ext uri="{FF2B5EF4-FFF2-40B4-BE49-F238E27FC236}">
              <a16:creationId xmlns:a16="http://schemas.microsoft.com/office/drawing/2014/main" id="{00000000-0008-0000-0000-00007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88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137160</xdr:rowOff>
    </xdr:to>
    <xdr:sp macro="" textlink="">
      <xdr:nvSpPr>
        <xdr:cNvPr id="32881" name="AutoShape 24" descr="Clear">
          <a:extLst>
            <a:ext uri="{FF2B5EF4-FFF2-40B4-BE49-F238E27FC236}">
              <a16:creationId xmlns:a16="http://schemas.microsoft.com/office/drawing/2014/main" id="{00000000-0008-0000-0000-00007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5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137160</xdr:rowOff>
    </xdr:to>
    <xdr:sp macro="" textlink="">
      <xdr:nvSpPr>
        <xdr:cNvPr id="32882" name="AutoShape 25" descr="Clear">
          <a:extLst>
            <a:ext uri="{FF2B5EF4-FFF2-40B4-BE49-F238E27FC236}">
              <a16:creationId xmlns:a16="http://schemas.microsoft.com/office/drawing/2014/main" id="{00000000-0008-0000-0000-00007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137160</xdr:rowOff>
    </xdr:to>
    <xdr:sp macro="" textlink="">
      <xdr:nvSpPr>
        <xdr:cNvPr id="32883" name="AutoShape 26" descr="Clear">
          <a:extLst>
            <a:ext uri="{FF2B5EF4-FFF2-40B4-BE49-F238E27FC236}">
              <a16:creationId xmlns:a16="http://schemas.microsoft.com/office/drawing/2014/main" id="{00000000-0008-0000-0000-00007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137160</xdr:rowOff>
    </xdr:to>
    <xdr:sp macro="" textlink="">
      <xdr:nvSpPr>
        <xdr:cNvPr id="32884" name="AutoShape 27" descr="Clear">
          <a:extLst>
            <a:ext uri="{FF2B5EF4-FFF2-40B4-BE49-F238E27FC236}">
              <a16:creationId xmlns:a16="http://schemas.microsoft.com/office/drawing/2014/main" id="{00000000-0008-0000-0000-00007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137160</xdr:rowOff>
    </xdr:to>
    <xdr:sp macro="" textlink="">
      <xdr:nvSpPr>
        <xdr:cNvPr id="32885" name="AutoShape 28" descr="Partly Cloudy">
          <a:extLst>
            <a:ext uri="{FF2B5EF4-FFF2-40B4-BE49-F238E27FC236}">
              <a16:creationId xmlns:a16="http://schemas.microsoft.com/office/drawing/2014/main" id="{00000000-0008-0000-0000-00007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137160</xdr:rowOff>
    </xdr:to>
    <xdr:sp macro="" textlink="">
      <xdr:nvSpPr>
        <xdr:cNvPr id="32886" name="AutoShape 29" descr="Partly Cloudy">
          <a:extLst>
            <a:ext uri="{FF2B5EF4-FFF2-40B4-BE49-F238E27FC236}">
              <a16:creationId xmlns:a16="http://schemas.microsoft.com/office/drawing/2014/main" id="{00000000-0008-0000-0000-00007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70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137160</xdr:rowOff>
    </xdr:to>
    <xdr:sp macro="" textlink="">
      <xdr:nvSpPr>
        <xdr:cNvPr id="32887" name="AutoShape 30" descr="Partly Cloudy">
          <a:extLst>
            <a:ext uri="{FF2B5EF4-FFF2-40B4-BE49-F238E27FC236}">
              <a16:creationId xmlns:a16="http://schemas.microsoft.com/office/drawing/2014/main" id="{00000000-0008-0000-0000-00007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137160</xdr:rowOff>
    </xdr:to>
    <xdr:sp macro="" textlink="">
      <xdr:nvSpPr>
        <xdr:cNvPr id="32888" name="AutoShape 31" descr="Partly Cloudy">
          <a:extLst>
            <a:ext uri="{FF2B5EF4-FFF2-40B4-BE49-F238E27FC236}">
              <a16:creationId xmlns:a16="http://schemas.microsoft.com/office/drawing/2014/main" id="{00000000-0008-0000-0000-00007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5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137160</xdr:rowOff>
    </xdr:to>
    <xdr:sp macro="" textlink="">
      <xdr:nvSpPr>
        <xdr:cNvPr id="32889" name="AutoShape 32" descr="Partly Cloudy">
          <a:extLst>
            <a:ext uri="{FF2B5EF4-FFF2-40B4-BE49-F238E27FC236}">
              <a16:creationId xmlns:a16="http://schemas.microsoft.com/office/drawing/2014/main" id="{00000000-0008-0000-0000-00007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73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137160</xdr:rowOff>
    </xdr:to>
    <xdr:sp macro="" textlink="">
      <xdr:nvSpPr>
        <xdr:cNvPr id="32890" name="AutoShape 33" descr="Partly Cloudy">
          <a:extLst>
            <a:ext uri="{FF2B5EF4-FFF2-40B4-BE49-F238E27FC236}">
              <a16:creationId xmlns:a16="http://schemas.microsoft.com/office/drawing/2014/main" id="{00000000-0008-0000-0000-00007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4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137160</xdr:rowOff>
    </xdr:to>
    <xdr:sp macro="" textlink="">
      <xdr:nvSpPr>
        <xdr:cNvPr id="32891" name="AutoShape 34" descr="Mostly Sunny">
          <a:extLst>
            <a:ext uri="{FF2B5EF4-FFF2-40B4-BE49-F238E27FC236}">
              <a16:creationId xmlns:a16="http://schemas.microsoft.com/office/drawing/2014/main" id="{00000000-0008-0000-0000-00007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8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137160</xdr:rowOff>
    </xdr:to>
    <xdr:sp macro="" textlink="">
      <xdr:nvSpPr>
        <xdr:cNvPr id="32892" name="AutoShape 35" descr="Mostly Sunny">
          <a:extLst>
            <a:ext uri="{FF2B5EF4-FFF2-40B4-BE49-F238E27FC236}">
              <a16:creationId xmlns:a16="http://schemas.microsoft.com/office/drawing/2014/main" id="{00000000-0008-0000-0000-00007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137160</xdr:rowOff>
    </xdr:to>
    <xdr:sp macro="" textlink="">
      <xdr:nvSpPr>
        <xdr:cNvPr id="32893" name="AutoShape 36" descr="Partly Cloudy">
          <a:extLst>
            <a:ext uri="{FF2B5EF4-FFF2-40B4-BE49-F238E27FC236}">
              <a16:creationId xmlns:a16="http://schemas.microsoft.com/office/drawing/2014/main" id="{00000000-0008-0000-0000-00007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137160</xdr:rowOff>
    </xdr:to>
    <xdr:sp macro="" textlink="">
      <xdr:nvSpPr>
        <xdr:cNvPr id="32894" name="AutoShape 37" descr="Partly Cloudy">
          <a:extLst>
            <a:ext uri="{FF2B5EF4-FFF2-40B4-BE49-F238E27FC236}">
              <a16:creationId xmlns:a16="http://schemas.microsoft.com/office/drawing/2014/main" id="{00000000-0008-0000-0000-00007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137160</xdr:rowOff>
    </xdr:to>
    <xdr:sp macro="" textlink="">
      <xdr:nvSpPr>
        <xdr:cNvPr id="32895" name="AutoShape 38" descr="Partly Cloudy">
          <a:extLst>
            <a:ext uri="{FF2B5EF4-FFF2-40B4-BE49-F238E27FC236}">
              <a16:creationId xmlns:a16="http://schemas.microsoft.com/office/drawing/2014/main" id="{00000000-0008-0000-0000-00007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137160</xdr:rowOff>
    </xdr:to>
    <xdr:sp macro="" textlink="">
      <xdr:nvSpPr>
        <xdr:cNvPr id="32896" name="AutoShape 39" descr="Partly Cloudy">
          <a:extLst>
            <a:ext uri="{FF2B5EF4-FFF2-40B4-BE49-F238E27FC236}">
              <a16:creationId xmlns:a16="http://schemas.microsoft.com/office/drawing/2014/main" id="{00000000-0008-0000-0000-00008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6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137160</xdr:rowOff>
    </xdr:to>
    <xdr:sp macro="" textlink="">
      <xdr:nvSpPr>
        <xdr:cNvPr id="32897" name="AutoShape 40" descr="Partly Cloudy">
          <a:extLst>
            <a:ext uri="{FF2B5EF4-FFF2-40B4-BE49-F238E27FC236}">
              <a16:creationId xmlns:a16="http://schemas.microsoft.com/office/drawing/2014/main" id="{00000000-0008-0000-0000-00008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137160</xdr:rowOff>
    </xdr:to>
    <xdr:sp macro="" textlink="">
      <xdr:nvSpPr>
        <xdr:cNvPr id="32898" name="AutoShape 41" descr="Mostly Sunny">
          <a:extLst>
            <a:ext uri="{FF2B5EF4-FFF2-40B4-BE49-F238E27FC236}">
              <a16:creationId xmlns:a16="http://schemas.microsoft.com/office/drawing/2014/main" id="{00000000-0008-0000-0000-00008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137160</xdr:rowOff>
    </xdr:to>
    <xdr:sp macro="" textlink="">
      <xdr:nvSpPr>
        <xdr:cNvPr id="32899" name="AutoShape 42" descr="Mostly Sunny">
          <a:extLst>
            <a:ext uri="{FF2B5EF4-FFF2-40B4-BE49-F238E27FC236}">
              <a16:creationId xmlns:a16="http://schemas.microsoft.com/office/drawing/2014/main" id="{00000000-0008-0000-0000-00008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49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137160</xdr:rowOff>
    </xdr:to>
    <xdr:sp macro="" textlink="">
      <xdr:nvSpPr>
        <xdr:cNvPr id="32900" name="AutoShape 43" descr="Sunny">
          <a:extLst>
            <a:ext uri="{FF2B5EF4-FFF2-40B4-BE49-F238E27FC236}">
              <a16:creationId xmlns:a16="http://schemas.microsoft.com/office/drawing/2014/main" id="{00000000-0008-0000-0000-00008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1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137160</xdr:rowOff>
    </xdr:to>
    <xdr:sp macro="" textlink="">
      <xdr:nvSpPr>
        <xdr:cNvPr id="32901" name="AutoShape 44" descr="Clear">
          <a:extLst>
            <a:ext uri="{FF2B5EF4-FFF2-40B4-BE49-F238E27FC236}">
              <a16:creationId xmlns:a16="http://schemas.microsoft.com/office/drawing/2014/main" id="{00000000-0008-0000-0000-00008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5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137160</xdr:rowOff>
    </xdr:to>
    <xdr:sp macro="" textlink="">
      <xdr:nvSpPr>
        <xdr:cNvPr id="32902" name="AutoShape 45" descr="Clear">
          <a:extLst>
            <a:ext uri="{FF2B5EF4-FFF2-40B4-BE49-F238E27FC236}">
              <a16:creationId xmlns:a16="http://schemas.microsoft.com/office/drawing/2014/main" id="{00000000-0008-0000-0000-00008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137160</xdr:rowOff>
    </xdr:to>
    <xdr:sp macro="" textlink="">
      <xdr:nvSpPr>
        <xdr:cNvPr id="32903" name="AutoShape 46" descr="Clear">
          <a:extLst>
            <a:ext uri="{FF2B5EF4-FFF2-40B4-BE49-F238E27FC236}">
              <a16:creationId xmlns:a16="http://schemas.microsoft.com/office/drawing/2014/main" id="{00000000-0008-0000-0000-00008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0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137160</xdr:rowOff>
    </xdr:to>
    <xdr:sp macro="" textlink="">
      <xdr:nvSpPr>
        <xdr:cNvPr id="32904" name="AutoShape 47" descr="Clear">
          <a:extLst>
            <a:ext uri="{FF2B5EF4-FFF2-40B4-BE49-F238E27FC236}">
              <a16:creationId xmlns:a16="http://schemas.microsoft.com/office/drawing/2014/main" id="{00000000-0008-0000-0000-00008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88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137160</xdr:rowOff>
    </xdr:to>
    <xdr:sp macro="" textlink="">
      <xdr:nvSpPr>
        <xdr:cNvPr id="32905" name="AutoShape 48" descr="Clear">
          <a:extLst>
            <a:ext uri="{FF2B5EF4-FFF2-40B4-BE49-F238E27FC236}">
              <a16:creationId xmlns:a16="http://schemas.microsoft.com/office/drawing/2014/main" id="{00000000-0008-0000-0000-00008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5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137160</xdr:rowOff>
    </xdr:to>
    <xdr:sp macro="" textlink="">
      <xdr:nvSpPr>
        <xdr:cNvPr id="32906" name="AutoShape 49" descr="Clear">
          <a:extLst>
            <a:ext uri="{FF2B5EF4-FFF2-40B4-BE49-F238E27FC236}">
              <a16:creationId xmlns:a16="http://schemas.microsoft.com/office/drawing/2014/main" id="{00000000-0008-0000-0000-00008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32907" name="AutoShape 2" descr="Partly Cloudy">
          <a:extLst>
            <a:ext uri="{FF2B5EF4-FFF2-40B4-BE49-F238E27FC236}">
              <a16:creationId xmlns:a16="http://schemas.microsoft.com/office/drawing/2014/main" id="{00000000-0008-0000-0000-00008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32908" name="AutoShape 3" descr="Mostly Cloudy">
          <a:extLst>
            <a:ext uri="{FF2B5EF4-FFF2-40B4-BE49-F238E27FC236}">
              <a16:creationId xmlns:a16="http://schemas.microsoft.com/office/drawing/2014/main" id="{00000000-0008-0000-0000-00008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32909" name="AutoShape 4" descr="Mostly Cloudy">
          <a:extLst>
            <a:ext uri="{FF2B5EF4-FFF2-40B4-BE49-F238E27FC236}">
              <a16:creationId xmlns:a16="http://schemas.microsoft.com/office/drawing/2014/main" id="{00000000-0008-0000-0000-00008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32910" name="AutoShape 5" descr="Mostly Cloudy">
          <a:extLst>
            <a:ext uri="{FF2B5EF4-FFF2-40B4-BE49-F238E27FC236}">
              <a16:creationId xmlns:a16="http://schemas.microsoft.com/office/drawing/2014/main" id="{00000000-0008-0000-0000-00008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32911" name="AutoShape 6" descr="Mostly Cloudy">
          <a:extLst>
            <a:ext uri="{FF2B5EF4-FFF2-40B4-BE49-F238E27FC236}">
              <a16:creationId xmlns:a16="http://schemas.microsoft.com/office/drawing/2014/main" id="{00000000-0008-0000-0000-00008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32912" name="AutoShape 7" descr="Cloudy">
          <a:extLst>
            <a:ext uri="{FF2B5EF4-FFF2-40B4-BE49-F238E27FC236}">
              <a16:creationId xmlns:a16="http://schemas.microsoft.com/office/drawing/2014/main" id="{00000000-0008-0000-0000-00009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32913" name="AutoShape 8" descr="Cloudy">
          <a:extLst>
            <a:ext uri="{FF2B5EF4-FFF2-40B4-BE49-F238E27FC236}">
              <a16:creationId xmlns:a16="http://schemas.microsoft.com/office/drawing/2014/main" id="{00000000-0008-0000-0000-00009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2914" name="AutoShape 9" descr="Cloudy">
          <a:extLst>
            <a:ext uri="{FF2B5EF4-FFF2-40B4-BE49-F238E27FC236}">
              <a16:creationId xmlns:a16="http://schemas.microsoft.com/office/drawing/2014/main" id="{00000000-0008-0000-0000-00009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32915" name="AutoShape 10" descr="Cloudy">
          <a:extLst>
            <a:ext uri="{FF2B5EF4-FFF2-40B4-BE49-F238E27FC236}">
              <a16:creationId xmlns:a16="http://schemas.microsoft.com/office/drawing/2014/main" id="{00000000-0008-0000-0000-00009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32916" name="AutoShape 11" descr="Cloudy">
          <a:extLst>
            <a:ext uri="{FF2B5EF4-FFF2-40B4-BE49-F238E27FC236}">
              <a16:creationId xmlns:a16="http://schemas.microsoft.com/office/drawing/2014/main" id="{00000000-0008-0000-0000-00009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32917" name="AutoShape 12" descr="Cloudy">
          <a:extLst>
            <a:ext uri="{FF2B5EF4-FFF2-40B4-BE49-F238E27FC236}">
              <a16:creationId xmlns:a16="http://schemas.microsoft.com/office/drawing/2014/main" id="{00000000-0008-0000-0000-00009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32918" name="AutoShape 13" descr="Cloudy">
          <a:extLst>
            <a:ext uri="{FF2B5EF4-FFF2-40B4-BE49-F238E27FC236}">
              <a16:creationId xmlns:a16="http://schemas.microsoft.com/office/drawing/2014/main" id="{00000000-0008-0000-0000-00009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32919" name="AutoShape 14" descr="Few Showers">
          <a:extLst>
            <a:ext uri="{FF2B5EF4-FFF2-40B4-BE49-F238E27FC236}">
              <a16:creationId xmlns:a16="http://schemas.microsoft.com/office/drawing/2014/main" id="{00000000-0008-0000-0000-00009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32920" name="AutoShape 15" descr="Showers">
          <a:extLst>
            <a:ext uri="{FF2B5EF4-FFF2-40B4-BE49-F238E27FC236}">
              <a16:creationId xmlns:a16="http://schemas.microsoft.com/office/drawing/2014/main" id="{00000000-0008-0000-0000-00009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32921" name="AutoShape 16" descr="Showers">
          <a:extLst>
            <a:ext uri="{FF2B5EF4-FFF2-40B4-BE49-F238E27FC236}">
              <a16:creationId xmlns:a16="http://schemas.microsoft.com/office/drawing/2014/main" id="{00000000-0008-0000-0000-00009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32922" name="AutoShape 17" descr="Showers">
          <a:extLst>
            <a:ext uri="{FF2B5EF4-FFF2-40B4-BE49-F238E27FC236}">
              <a16:creationId xmlns:a16="http://schemas.microsoft.com/office/drawing/2014/main" id="{00000000-0008-0000-0000-00009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32923" name="AutoShape 18" descr="Showers">
          <a:extLst>
            <a:ext uri="{FF2B5EF4-FFF2-40B4-BE49-F238E27FC236}">
              <a16:creationId xmlns:a16="http://schemas.microsoft.com/office/drawing/2014/main" id="{00000000-0008-0000-0000-00009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32924" name="AutoShape 19" descr="Light Rain">
          <a:extLst>
            <a:ext uri="{FF2B5EF4-FFF2-40B4-BE49-F238E27FC236}">
              <a16:creationId xmlns:a16="http://schemas.microsoft.com/office/drawing/2014/main" id="{00000000-0008-0000-0000-00009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32925" name="AutoShape 20" descr="Light Rain">
          <a:extLst>
            <a:ext uri="{FF2B5EF4-FFF2-40B4-BE49-F238E27FC236}">
              <a16:creationId xmlns:a16="http://schemas.microsoft.com/office/drawing/2014/main" id="{00000000-0008-0000-0000-00009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32926" name="AutoShape 21" descr="Light Rain">
          <a:extLst>
            <a:ext uri="{FF2B5EF4-FFF2-40B4-BE49-F238E27FC236}">
              <a16:creationId xmlns:a16="http://schemas.microsoft.com/office/drawing/2014/main" id="{00000000-0008-0000-0000-00009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32927" name="AutoShape 22" descr="Showers">
          <a:extLst>
            <a:ext uri="{FF2B5EF4-FFF2-40B4-BE49-F238E27FC236}">
              <a16:creationId xmlns:a16="http://schemas.microsoft.com/office/drawing/2014/main" id="{00000000-0008-0000-0000-00009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32928" name="AutoShape 23" descr="Showers">
          <a:extLst>
            <a:ext uri="{FF2B5EF4-FFF2-40B4-BE49-F238E27FC236}">
              <a16:creationId xmlns:a16="http://schemas.microsoft.com/office/drawing/2014/main" id="{00000000-0008-0000-0000-0000A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32929" name="AutoShape 24" descr="Showers">
          <a:extLst>
            <a:ext uri="{FF2B5EF4-FFF2-40B4-BE49-F238E27FC236}">
              <a16:creationId xmlns:a16="http://schemas.microsoft.com/office/drawing/2014/main" id="{00000000-0008-0000-0000-0000A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32930" name="AutoShape 25" descr="Few Showers">
          <a:extLst>
            <a:ext uri="{FF2B5EF4-FFF2-40B4-BE49-F238E27FC236}">
              <a16:creationId xmlns:a16="http://schemas.microsoft.com/office/drawing/2014/main" id="{00000000-0008-0000-0000-0000A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137160</xdr:rowOff>
    </xdr:to>
    <xdr:sp macro="" textlink="">
      <xdr:nvSpPr>
        <xdr:cNvPr id="32931" name="AutoShape 2" descr="Clear">
          <a:extLst>
            <a:ext uri="{FF2B5EF4-FFF2-40B4-BE49-F238E27FC236}">
              <a16:creationId xmlns:a16="http://schemas.microsoft.com/office/drawing/2014/main" id="{00000000-0008-0000-0000-0000A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137160</xdr:rowOff>
    </xdr:to>
    <xdr:sp macro="" textlink="">
      <xdr:nvSpPr>
        <xdr:cNvPr id="32932" name="AutoShape 3" descr="Clear">
          <a:extLst>
            <a:ext uri="{FF2B5EF4-FFF2-40B4-BE49-F238E27FC236}">
              <a16:creationId xmlns:a16="http://schemas.microsoft.com/office/drawing/2014/main" id="{00000000-0008-0000-0000-0000A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137160</xdr:rowOff>
    </xdr:to>
    <xdr:sp macro="" textlink="">
      <xdr:nvSpPr>
        <xdr:cNvPr id="32933" name="AutoShape 4" descr="Clear">
          <a:extLst>
            <a:ext uri="{FF2B5EF4-FFF2-40B4-BE49-F238E27FC236}">
              <a16:creationId xmlns:a16="http://schemas.microsoft.com/office/drawing/2014/main" id="{00000000-0008-0000-0000-0000A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137160</xdr:rowOff>
    </xdr:to>
    <xdr:sp macro="" textlink="">
      <xdr:nvSpPr>
        <xdr:cNvPr id="32934" name="AutoShape 5" descr="Clear">
          <a:extLst>
            <a:ext uri="{FF2B5EF4-FFF2-40B4-BE49-F238E27FC236}">
              <a16:creationId xmlns:a16="http://schemas.microsoft.com/office/drawing/2014/main" id="{00000000-0008-0000-0000-0000A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70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137160</xdr:rowOff>
    </xdr:to>
    <xdr:sp macro="" textlink="">
      <xdr:nvSpPr>
        <xdr:cNvPr id="32935" name="AutoShape 6" descr="Clear">
          <a:extLst>
            <a:ext uri="{FF2B5EF4-FFF2-40B4-BE49-F238E27FC236}">
              <a16:creationId xmlns:a16="http://schemas.microsoft.com/office/drawing/2014/main" id="{00000000-0008-0000-0000-0000A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137160</xdr:rowOff>
    </xdr:to>
    <xdr:sp macro="" textlink="">
      <xdr:nvSpPr>
        <xdr:cNvPr id="32936" name="AutoShape 7" descr="Clear">
          <a:extLst>
            <a:ext uri="{FF2B5EF4-FFF2-40B4-BE49-F238E27FC236}">
              <a16:creationId xmlns:a16="http://schemas.microsoft.com/office/drawing/2014/main" id="{00000000-0008-0000-0000-0000A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5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137160</xdr:rowOff>
    </xdr:to>
    <xdr:sp macro="" textlink="">
      <xdr:nvSpPr>
        <xdr:cNvPr id="32937" name="AutoShape 8" descr="Clear">
          <a:extLst>
            <a:ext uri="{FF2B5EF4-FFF2-40B4-BE49-F238E27FC236}">
              <a16:creationId xmlns:a16="http://schemas.microsoft.com/office/drawing/2014/main" id="{00000000-0008-0000-0000-0000A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73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137160</xdr:rowOff>
    </xdr:to>
    <xdr:sp macro="" textlink="">
      <xdr:nvSpPr>
        <xdr:cNvPr id="32938" name="AutoShape 9" descr="Mostly Sunny">
          <a:extLst>
            <a:ext uri="{FF2B5EF4-FFF2-40B4-BE49-F238E27FC236}">
              <a16:creationId xmlns:a16="http://schemas.microsoft.com/office/drawing/2014/main" id="{00000000-0008-0000-0000-0000A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4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137160</xdr:rowOff>
    </xdr:to>
    <xdr:sp macro="" textlink="">
      <xdr:nvSpPr>
        <xdr:cNvPr id="32939" name="AutoShape 10" descr="Mostly Sunny">
          <a:extLst>
            <a:ext uri="{FF2B5EF4-FFF2-40B4-BE49-F238E27FC236}">
              <a16:creationId xmlns:a16="http://schemas.microsoft.com/office/drawing/2014/main" id="{00000000-0008-0000-0000-0000A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8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137160</xdr:rowOff>
    </xdr:to>
    <xdr:sp macro="" textlink="">
      <xdr:nvSpPr>
        <xdr:cNvPr id="32940" name="AutoShape 11" descr="Sunny">
          <a:extLst>
            <a:ext uri="{FF2B5EF4-FFF2-40B4-BE49-F238E27FC236}">
              <a16:creationId xmlns:a16="http://schemas.microsoft.com/office/drawing/2014/main" id="{00000000-0008-0000-0000-0000A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137160</xdr:rowOff>
    </xdr:to>
    <xdr:sp macro="" textlink="">
      <xdr:nvSpPr>
        <xdr:cNvPr id="32941" name="AutoShape 12" descr="Sunny">
          <a:extLst>
            <a:ext uri="{FF2B5EF4-FFF2-40B4-BE49-F238E27FC236}">
              <a16:creationId xmlns:a16="http://schemas.microsoft.com/office/drawing/2014/main" id="{00000000-0008-0000-0000-0000A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137160</xdr:rowOff>
    </xdr:to>
    <xdr:sp macro="" textlink="">
      <xdr:nvSpPr>
        <xdr:cNvPr id="32942" name="AutoShape 13" descr="Sunny">
          <a:extLst>
            <a:ext uri="{FF2B5EF4-FFF2-40B4-BE49-F238E27FC236}">
              <a16:creationId xmlns:a16="http://schemas.microsoft.com/office/drawing/2014/main" id="{00000000-0008-0000-0000-0000A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137160</xdr:rowOff>
    </xdr:to>
    <xdr:sp macro="" textlink="">
      <xdr:nvSpPr>
        <xdr:cNvPr id="32943" name="AutoShape 14" descr="Sunny">
          <a:extLst>
            <a:ext uri="{FF2B5EF4-FFF2-40B4-BE49-F238E27FC236}">
              <a16:creationId xmlns:a16="http://schemas.microsoft.com/office/drawing/2014/main" id="{00000000-0008-0000-0000-0000A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137160</xdr:rowOff>
    </xdr:to>
    <xdr:sp macro="" textlink="">
      <xdr:nvSpPr>
        <xdr:cNvPr id="32944" name="AutoShape 15" descr="Partly Cloudy">
          <a:extLst>
            <a:ext uri="{FF2B5EF4-FFF2-40B4-BE49-F238E27FC236}">
              <a16:creationId xmlns:a16="http://schemas.microsoft.com/office/drawing/2014/main" id="{00000000-0008-0000-0000-0000B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6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137160</xdr:rowOff>
    </xdr:to>
    <xdr:sp macro="" textlink="">
      <xdr:nvSpPr>
        <xdr:cNvPr id="32945" name="AutoShape 16" descr="Partly Cloudy">
          <a:extLst>
            <a:ext uri="{FF2B5EF4-FFF2-40B4-BE49-F238E27FC236}">
              <a16:creationId xmlns:a16="http://schemas.microsoft.com/office/drawing/2014/main" id="{00000000-0008-0000-0000-0000B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137160</xdr:rowOff>
    </xdr:to>
    <xdr:sp macro="" textlink="">
      <xdr:nvSpPr>
        <xdr:cNvPr id="32946" name="AutoShape 17" descr="Partly Cloudy">
          <a:extLst>
            <a:ext uri="{FF2B5EF4-FFF2-40B4-BE49-F238E27FC236}">
              <a16:creationId xmlns:a16="http://schemas.microsoft.com/office/drawing/2014/main" id="{00000000-0008-0000-0000-0000B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137160</xdr:rowOff>
    </xdr:to>
    <xdr:sp macro="" textlink="">
      <xdr:nvSpPr>
        <xdr:cNvPr id="32947" name="AutoShape 18" descr="Partly Cloudy">
          <a:extLst>
            <a:ext uri="{FF2B5EF4-FFF2-40B4-BE49-F238E27FC236}">
              <a16:creationId xmlns:a16="http://schemas.microsoft.com/office/drawing/2014/main" id="{00000000-0008-0000-0000-0000B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49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137160</xdr:rowOff>
    </xdr:to>
    <xdr:sp macro="" textlink="">
      <xdr:nvSpPr>
        <xdr:cNvPr id="32948" name="AutoShape 19" descr="Mostly Sunny">
          <a:extLst>
            <a:ext uri="{FF2B5EF4-FFF2-40B4-BE49-F238E27FC236}">
              <a16:creationId xmlns:a16="http://schemas.microsoft.com/office/drawing/2014/main" id="{00000000-0008-0000-0000-0000B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1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137160</xdr:rowOff>
    </xdr:to>
    <xdr:sp macro="" textlink="">
      <xdr:nvSpPr>
        <xdr:cNvPr id="32949" name="AutoShape 20" descr="Sunny">
          <a:extLst>
            <a:ext uri="{FF2B5EF4-FFF2-40B4-BE49-F238E27FC236}">
              <a16:creationId xmlns:a16="http://schemas.microsoft.com/office/drawing/2014/main" id="{00000000-0008-0000-0000-0000B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5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137160</xdr:rowOff>
    </xdr:to>
    <xdr:sp macro="" textlink="">
      <xdr:nvSpPr>
        <xdr:cNvPr id="32950" name="AutoShape 21" descr="Mostly Clear">
          <a:extLst>
            <a:ext uri="{FF2B5EF4-FFF2-40B4-BE49-F238E27FC236}">
              <a16:creationId xmlns:a16="http://schemas.microsoft.com/office/drawing/2014/main" id="{00000000-0008-0000-0000-0000B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137160</xdr:rowOff>
    </xdr:to>
    <xdr:sp macro="" textlink="">
      <xdr:nvSpPr>
        <xdr:cNvPr id="32951" name="AutoShape 22" descr="Clear">
          <a:extLst>
            <a:ext uri="{FF2B5EF4-FFF2-40B4-BE49-F238E27FC236}">
              <a16:creationId xmlns:a16="http://schemas.microsoft.com/office/drawing/2014/main" id="{00000000-0008-0000-0000-0000B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0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137160</xdr:rowOff>
    </xdr:to>
    <xdr:sp macro="" textlink="">
      <xdr:nvSpPr>
        <xdr:cNvPr id="32952" name="AutoShape 23" descr="Clear">
          <a:extLst>
            <a:ext uri="{FF2B5EF4-FFF2-40B4-BE49-F238E27FC236}">
              <a16:creationId xmlns:a16="http://schemas.microsoft.com/office/drawing/2014/main" id="{00000000-0008-0000-0000-0000B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88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137160</xdr:rowOff>
    </xdr:to>
    <xdr:sp macro="" textlink="">
      <xdr:nvSpPr>
        <xdr:cNvPr id="32953" name="AutoShape 24" descr="Clear">
          <a:extLst>
            <a:ext uri="{FF2B5EF4-FFF2-40B4-BE49-F238E27FC236}">
              <a16:creationId xmlns:a16="http://schemas.microsoft.com/office/drawing/2014/main" id="{00000000-0008-0000-0000-0000B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5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137160</xdr:rowOff>
    </xdr:to>
    <xdr:sp macro="" textlink="">
      <xdr:nvSpPr>
        <xdr:cNvPr id="32954" name="AutoShape 25" descr="Clear">
          <a:extLst>
            <a:ext uri="{FF2B5EF4-FFF2-40B4-BE49-F238E27FC236}">
              <a16:creationId xmlns:a16="http://schemas.microsoft.com/office/drawing/2014/main" id="{00000000-0008-0000-0000-0000B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32955" name="AutoShape 2" descr="Clear">
          <a:extLst>
            <a:ext uri="{FF2B5EF4-FFF2-40B4-BE49-F238E27FC236}">
              <a16:creationId xmlns:a16="http://schemas.microsoft.com/office/drawing/2014/main" id="{00000000-0008-0000-0000-0000B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32956" name="AutoShape 3" descr="Clear">
          <a:extLst>
            <a:ext uri="{FF2B5EF4-FFF2-40B4-BE49-F238E27FC236}">
              <a16:creationId xmlns:a16="http://schemas.microsoft.com/office/drawing/2014/main" id="{00000000-0008-0000-0000-0000B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32957" name="AutoShape 4" descr="Clear">
          <a:extLst>
            <a:ext uri="{FF2B5EF4-FFF2-40B4-BE49-F238E27FC236}">
              <a16:creationId xmlns:a16="http://schemas.microsoft.com/office/drawing/2014/main" id="{00000000-0008-0000-0000-0000B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32958" name="AutoShape 5" descr="Clear">
          <a:extLst>
            <a:ext uri="{FF2B5EF4-FFF2-40B4-BE49-F238E27FC236}">
              <a16:creationId xmlns:a16="http://schemas.microsoft.com/office/drawing/2014/main" id="{00000000-0008-0000-0000-0000B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32959" name="AutoShape 6" descr="Clear">
          <a:extLst>
            <a:ext uri="{FF2B5EF4-FFF2-40B4-BE49-F238E27FC236}">
              <a16:creationId xmlns:a16="http://schemas.microsoft.com/office/drawing/2014/main" id="{00000000-0008-0000-0000-0000B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32960" name="AutoShape 7" descr="Clear">
          <a:extLst>
            <a:ext uri="{FF2B5EF4-FFF2-40B4-BE49-F238E27FC236}">
              <a16:creationId xmlns:a16="http://schemas.microsoft.com/office/drawing/2014/main" id="{00000000-0008-0000-0000-0000C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32961" name="AutoShape 8" descr="Clear">
          <a:extLst>
            <a:ext uri="{FF2B5EF4-FFF2-40B4-BE49-F238E27FC236}">
              <a16:creationId xmlns:a16="http://schemas.microsoft.com/office/drawing/2014/main" id="{00000000-0008-0000-0000-0000C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2962" name="AutoShape 9" descr="Sunny">
          <a:extLst>
            <a:ext uri="{FF2B5EF4-FFF2-40B4-BE49-F238E27FC236}">
              <a16:creationId xmlns:a16="http://schemas.microsoft.com/office/drawing/2014/main" id="{00000000-0008-0000-0000-0000C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32963" name="AutoShape 10" descr="Sunny">
          <a:extLst>
            <a:ext uri="{FF2B5EF4-FFF2-40B4-BE49-F238E27FC236}">
              <a16:creationId xmlns:a16="http://schemas.microsoft.com/office/drawing/2014/main" id="{00000000-0008-0000-0000-0000C3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32964" name="AutoShape 11" descr="Sunny">
          <a:extLst>
            <a:ext uri="{FF2B5EF4-FFF2-40B4-BE49-F238E27FC236}">
              <a16:creationId xmlns:a16="http://schemas.microsoft.com/office/drawing/2014/main" id="{00000000-0008-0000-0000-0000C4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32965" name="AutoShape 12" descr="Sunny">
          <a:extLst>
            <a:ext uri="{FF2B5EF4-FFF2-40B4-BE49-F238E27FC236}">
              <a16:creationId xmlns:a16="http://schemas.microsoft.com/office/drawing/2014/main" id="{00000000-0008-0000-0000-0000C5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32966" name="AutoShape 13" descr="Sunny">
          <a:extLst>
            <a:ext uri="{FF2B5EF4-FFF2-40B4-BE49-F238E27FC236}">
              <a16:creationId xmlns:a16="http://schemas.microsoft.com/office/drawing/2014/main" id="{00000000-0008-0000-0000-0000C6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32967" name="AutoShape 14" descr="Sunny">
          <a:extLst>
            <a:ext uri="{FF2B5EF4-FFF2-40B4-BE49-F238E27FC236}">
              <a16:creationId xmlns:a16="http://schemas.microsoft.com/office/drawing/2014/main" id="{00000000-0008-0000-0000-0000C7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32968" name="AutoShape 15" descr="Sunny">
          <a:extLst>
            <a:ext uri="{FF2B5EF4-FFF2-40B4-BE49-F238E27FC236}">
              <a16:creationId xmlns:a16="http://schemas.microsoft.com/office/drawing/2014/main" id="{00000000-0008-0000-0000-0000C8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32969" name="AutoShape 16" descr="Sunny">
          <a:extLst>
            <a:ext uri="{FF2B5EF4-FFF2-40B4-BE49-F238E27FC236}">
              <a16:creationId xmlns:a16="http://schemas.microsoft.com/office/drawing/2014/main" id="{00000000-0008-0000-0000-0000C9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32970" name="AutoShape 17" descr="Sunny">
          <a:extLst>
            <a:ext uri="{FF2B5EF4-FFF2-40B4-BE49-F238E27FC236}">
              <a16:creationId xmlns:a16="http://schemas.microsoft.com/office/drawing/2014/main" id="{00000000-0008-0000-0000-0000CA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32971" name="AutoShape 18" descr="Sunny">
          <a:extLst>
            <a:ext uri="{FF2B5EF4-FFF2-40B4-BE49-F238E27FC236}">
              <a16:creationId xmlns:a16="http://schemas.microsoft.com/office/drawing/2014/main" id="{00000000-0008-0000-0000-0000CB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32972" name="AutoShape 19" descr="Sunny">
          <a:extLst>
            <a:ext uri="{FF2B5EF4-FFF2-40B4-BE49-F238E27FC236}">
              <a16:creationId xmlns:a16="http://schemas.microsoft.com/office/drawing/2014/main" id="{00000000-0008-0000-0000-0000CC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32973" name="AutoShape 20" descr="Sunny">
          <a:extLst>
            <a:ext uri="{FF2B5EF4-FFF2-40B4-BE49-F238E27FC236}">
              <a16:creationId xmlns:a16="http://schemas.microsoft.com/office/drawing/2014/main" id="{00000000-0008-0000-0000-0000CD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32974" name="AutoShape 21" descr="Clear">
          <a:extLst>
            <a:ext uri="{FF2B5EF4-FFF2-40B4-BE49-F238E27FC236}">
              <a16:creationId xmlns:a16="http://schemas.microsoft.com/office/drawing/2014/main" id="{00000000-0008-0000-0000-0000CE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32975" name="AutoShape 22" descr="Clear">
          <a:extLst>
            <a:ext uri="{FF2B5EF4-FFF2-40B4-BE49-F238E27FC236}">
              <a16:creationId xmlns:a16="http://schemas.microsoft.com/office/drawing/2014/main" id="{00000000-0008-0000-0000-0000CF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32976" name="AutoShape 23" descr="Mostly Clear">
          <a:extLst>
            <a:ext uri="{FF2B5EF4-FFF2-40B4-BE49-F238E27FC236}">
              <a16:creationId xmlns:a16="http://schemas.microsoft.com/office/drawing/2014/main" id="{00000000-0008-0000-0000-0000D0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32977" name="AutoShape 24" descr="Mostly Clear">
          <a:extLst>
            <a:ext uri="{FF2B5EF4-FFF2-40B4-BE49-F238E27FC236}">
              <a16:creationId xmlns:a16="http://schemas.microsoft.com/office/drawing/2014/main" id="{00000000-0008-0000-0000-0000D1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32978" name="AutoShape 25" descr="Partly Cloudy">
          <a:extLst>
            <a:ext uri="{FF2B5EF4-FFF2-40B4-BE49-F238E27FC236}">
              <a16:creationId xmlns:a16="http://schemas.microsoft.com/office/drawing/2014/main" id="{00000000-0008-0000-0000-0000D28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57150</xdr:rowOff>
        </xdr:from>
        <xdr:to>
          <xdr:col>1</xdr:col>
          <xdr:colOff>809625</xdr:colOff>
          <xdr:row>10</xdr:row>
          <xdr:rowOff>828675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9966"/>
                  </a:solidFill>
                  <a:latin typeface="Arial CE"/>
                  <a:cs typeface="Arial CE"/>
                </a:rPr>
                <a:t>UPLOAD DATATO XENERGY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U_Temp_au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wnload_WU"/>
      <sheetName val="Upload_XE"/>
      <sheetName val="WU_Temp_auto"/>
    </sheetNames>
    <sheetDataSet>
      <sheetData sheetId="0">
        <row r="1">
          <cell r="O1">
            <v>1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1"/>
  <sheetViews>
    <sheetView showGridLines="0" tabSelected="1" workbookViewId="0"/>
  </sheetViews>
  <sheetFormatPr defaultRowHeight="12.75"/>
  <cols>
    <col min="1" max="1" width="9" bestFit="1" customWidth="1"/>
    <col min="2" max="2" width="22.28515625" bestFit="1" customWidth="1"/>
    <col min="3" max="3" width="6.7109375" bestFit="1" customWidth="1"/>
    <col min="4" max="4" width="10.28515625" bestFit="1" customWidth="1"/>
    <col min="5" max="5" width="12.5703125" bestFit="1" customWidth="1"/>
    <col min="6" max="6" width="8.28515625" bestFit="1" customWidth="1"/>
    <col min="7" max="7" width="12.140625" bestFit="1" customWidth="1"/>
    <col min="8" max="8" width="10.28515625" bestFit="1" customWidth="1"/>
    <col min="9" max="9" width="9" bestFit="1" customWidth="1"/>
    <col min="10" max="10" width="7.7109375" bestFit="1" customWidth="1"/>
    <col min="11" max="11" width="9.140625" style="31" bestFit="1" customWidth="1"/>
    <col min="12" max="12" width="11.42578125" bestFit="1" customWidth="1"/>
    <col min="13" max="13" width="12.7109375" bestFit="1" customWidth="1"/>
    <col min="14" max="14" width="10.140625" bestFit="1" customWidth="1"/>
    <col min="15" max="15" width="7.28515625" customWidth="1"/>
    <col min="16" max="16" width="6.7109375" bestFit="1" customWidth="1"/>
    <col min="17" max="17" width="10.28515625" bestFit="1" customWidth="1"/>
    <col min="18" max="18" width="8.42578125" bestFit="1" customWidth="1"/>
    <col min="19" max="19" width="8.5703125" bestFit="1" customWidth="1"/>
    <col min="20" max="20" width="12.140625" bestFit="1" customWidth="1"/>
    <col min="21" max="21" width="10.28515625" bestFit="1" customWidth="1"/>
    <col min="22" max="22" width="9" bestFit="1" customWidth="1"/>
    <col min="23" max="23" width="5.7109375" bestFit="1" customWidth="1"/>
    <col min="25" max="25" width="15.7109375" customWidth="1"/>
  </cols>
  <sheetData>
    <row r="1" spans="1:25">
      <c r="A1" s="16" t="s">
        <v>5</v>
      </c>
      <c r="B1" s="16" t="s">
        <v>6</v>
      </c>
      <c r="C1" s="16" t="s">
        <v>7</v>
      </c>
      <c r="D1" s="16" t="s">
        <v>8</v>
      </c>
      <c r="E1" s="16" t="s">
        <v>24</v>
      </c>
      <c r="F1" s="16" t="s">
        <v>9</v>
      </c>
      <c r="G1" s="16" t="s">
        <v>10</v>
      </c>
      <c r="H1" s="16" t="s">
        <v>11</v>
      </c>
      <c r="I1" s="16" t="s">
        <v>12</v>
      </c>
      <c r="J1" s="16" t="s">
        <v>13</v>
      </c>
      <c r="K1" s="16" t="s">
        <v>25</v>
      </c>
      <c r="L1" s="16" t="s">
        <v>23</v>
      </c>
      <c r="N1" s="8">
        <f ca="1">TODAY()+Count_days</f>
        <v>44401</v>
      </c>
      <c r="O1" s="6">
        <v>5</v>
      </c>
      <c r="P1" s="7" t="str">
        <f t="shared" ref="P1:W1" si="0">C1</f>
        <v>Temp.</v>
      </c>
      <c r="Q1" s="7" t="str">
        <f t="shared" si="0"/>
        <v>Feels Like</v>
      </c>
      <c r="R1" s="7" t="str">
        <f t="shared" si="0"/>
        <v>Precipitation</v>
      </c>
      <c r="S1" s="7" t="str">
        <f t="shared" si="0"/>
        <v>Amount</v>
      </c>
      <c r="T1" s="7" t="str">
        <f t="shared" si="0"/>
        <v>Cloud Cover</v>
      </c>
      <c r="U1" s="7" t="str">
        <f t="shared" si="0"/>
        <v>Dew Point</v>
      </c>
      <c r="V1" s="7" t="str">
        <f t="shared" si="0"/>
        <v>Humidity</v>
      </c>
      <c r="W1" s="7" t="str">
        <f t="shared" si="0"/>
        <v>Wind</v>
      </c>
      <c r="Y1" s="10" t="s">
        <v>22</v>
      </c>
    </row>
    <row r="2" spans="1:25">
      <c r="A2" s="17">
        <v>0</v>
      </c>
      <c r="B2" t="s">
        <v>34</v>
      </c>
      <c r="C2" s="12">
        <v>20</v>
      </c>
      <c r="D2" s="12">
        <v>20</v>
      </c>
      <c r="E2" s="11">
        <v>0.53</v>
      </c>
      <c r="F2" s="13">
        <v>0.15</v>
      </c>
      <c r="G2" s="11">
        <v>0.5</v>
      </c>
      <c r="H2" s="12">
        <v>18</v>
      </c>
      <c r="I2" s="11">
        <v>0.9</v>
      </c>
      <c r="J2" s="14">
        <v>8</v>
      </c>
      <c r="K2" s="31" t="s">
        <v>33</v>
      </c>
      <c r="L2" s="15">
        <v>1009.39</v>
      </c>
      <c r="N2" s="5"/>
      <c r="P2" s="23">
        <f>VALUE(C2)</f>
        <v>20</v>
      </c>
      <c r="Q2" s="23">
        <f t="shared" ref="Q2:Q65" si="1">VALUE(D2)</f>
        <v>20</v>
      </c>
      <c r="R2" s="23">
        <f t="shared" ref="R2:R65" si="2">VALUE(E2)</f>
        <v>0.53</v>
      </c>
      <c r="S2" s="23">
        <f t="shared" ref="S2:S65" si="3">VALUE(F2)</f>
        <v>0.15</v>
      </c>
      <c r="T2" s="23">
        <f t="shared" ref="T2:T65" si="4">VALUE(G2)</f>
        <v>0.5</v>
      </c>
      <c r="U2" s="23">
        <f t="shared" ref="U2:U65" si="5">VALUE(H2)</f>
        <v>18</v>
      </c>
      <c r="V2" s="23">
        <f t="shared" ref="V2:V65" si="6">VALUE(I2)</f>
        <v>0.9</v>
      </c>
      <c r="W2" s="23">
        <f t="shared" ref="W2:W65" si="7">VALUE(J2)</f>
        <v>8</v>
      </c>
      <c r="Y2" s="9" t="str">
        <f>IF(AND(V2&gt;98,W2&lt;13,(P2-U2)&lt;2,P2&gt;=-5),"yes","no")</f>
        <v>no</v>
      </c>
    </row>
    <row r="3" spans="1:25">
      <c r="A3" s="17">
        <v>4.1666666666666664E-2</v>
      </c>
      <c r="B3" t="s">
        <v>27</v>
      </c>
      <c r="C3" s="12">
        <v>20</v>
      </c>
      <c r="D3" s="12">
        <v>20</v>
      </c>
      <c r="E3" s="11">
        <v>0.57999999999999996</v>
      </c>
      <c r="F3" s="13">
        <v>0.3</v>
      </c>
      <c r="G3" s="11">
        <v>0.5</v>
      </c>
      <c r="H3" s="12">
        <v>18</v>
      </c>
      <c r="I3" s="11">
        <v>0.89</v>
      </c>
      <c r="J3" s="14">
        <v>6</v>
      </c>
      <c r="K3" s="31" t="s">
        <v>31</v>
      </c>
      <c r="L3" s="15">
        <v>1009.59</v>
      </c>
      <c r="N3" s="5"/>
      <c r="P3" s="23">
        <f t="shared" ref="P3:P66" si="8">VALUE(C3)</f>
        <v>20</v>
      </c>
      <c r="Q3" s="23">
        <f t="shared" si="1"/>
        <v>20</v>
      </c>
      <c r="R3" s="23">
        <f t="shared" si="2"/>
        <v>0.57999999999999996</v>
      </c>
      <c r="S3" s="23">
        <f t="shared" si="3"/>
        <v>0.3</v>
      </c>
      <c r="T3" s="23">
        <f t="shared" si="4"/>
        <v>0.5</v>
      </c>
      <c r="U3" s="23">
        <f t="shared" si="5"/>
        <v>18</v>
      </c>
      <c r="V3" s="23">
        <f t="shared" si="6"/>
        <v>0.89</v>
      </c>
      <c r="W3" s="23">
        <f t="shared" si="7"/>
        <v>6</v>
      </c>
      <c r="Y3" s="9" t="str">
        <f t="shared" ref="Y3:Y66" si="9">IF(AND(V3&gt;98,W3&lt;13,(P3-U3)&lt;2,P3&gt;=-5),"yes","no")</f>
        <v>no</v>
      </c>
    </row>
    <row r="4" spans="1:25">
      <c r="A4" s="17">
        <v>8.3333333333333329E-2</v>
      </c>
      <c r="B4" t="s">
        <v>27</v>
      </c>
      <c r="C4" s="12">
        <v>19</v>
      </c>
      <c r="D4" s="12">
        <v>20</v>
      </c>
      <c r="E4" s="11">
        <v>0.56999999999999995</v>
      </c>
      <c r="F4" s="13">
        <v>0.19</v>
      </c>
      <c r="G4" s="11">
        <v>0.5</v>
      </c>
      <c r="H4" s="12">
        <v>18</v>
      </c>
      <c r="I4" s="11">
        <v>0.93</v>
      </c>
      <c r="J4" s="14">
        <v>7</v>
      </c>
      <c r="K4" s="31" t="s">
        <v>41</v>
      </c>
      <c r="L4" s="15">
        <v>1009.69</v>
      </c>
      <c r="N4" s="5"/>
      <c r="P4" s="23">
        <f t="shared" si="8"/>
        <v>19</v>
      </c>
      <c r="Q4" s="23">
        <f t="shared" si="1"/>
        <v>20</v>
      </c>
      <c r="R4" s="23">
        <f t="shared" si="2"/>
        <v>0.56999999999999995</v>
      </c>
      <c r="S4" s="23">
        <f t="shared" si="3"/>
        <v>0.19</v>
      </c>
      <c r="T4" s="23">
        <f t="shared" si="4"/>
        <v>0.5</v>
      </c>
      <c r="U4" s="23">
        <f t="shared" si="5"/>
        <v>18</v>
      </c>
      <c r="V4" s="23">
        <f t="shared" si="6"/>
        <v>0.93</v>
      </c>
      <c r="W4" s="23">
        <f t="shared" si="7"/>
        <v>7</v>
      </c>
      <c r="Y4" s="9" t="str">
        <f t="shared" si="9"/>
        <v>no</v>
      </c>
    </row>
    <row r="5" spans="1:25">
      <c r="A5" s="17">
        <v>0.125</v>
      </c>
      <c r="B5" t="s">
        <v>27</v>
      </c>
      <c r="C5" s="12">
        <v>19</v>
      </c>
      <c r="D5" s="12">
        <v>19</v>
      </c>
      <c r="E5" s="11">
        <v>0.53</v>
      </c>
      <c r="F5" s="13">
        <v>0.15</v>
      </c>
      <c r="G5" s="11">
        <v>0.5</v>
      </c>
      <c r="H5" s="12">
        <v>17</v>
      </c>
      <c r="I5" s="11">
        <v>0.91</v>
      </c>
      <c r="J5" s="14">
        <v>7</v>
      </c>
      <c r="K5" s="31" t="s">
        <v>33</v>
      </c>
      <c r="L5" s="15">
        <v>1009.6</v>
      </c>
      <c r="N5" s="5"/>
      <c r="P5" s="23">
        <f t="shared" si="8"/>
        <v>19</v>
      </c>
      <c r="Q5" s="23">
        <f t="shared" si="1"/>
        <v>19</v>
      </c>
      <c r="R5" s="23">
        <f t="shared" si="2"/>
        <v>0.53</v>
      </c>
      <c r="S5" s="23">
        <f t="shared" si="3"/>
        <v>0.15</v>
      </c>
      <c r="T5" s="23">
        <f t="shared" si="4"/>
        <v>0.5</v>
      </c>
      <c r="U5" s="23">
        <f t="shared" si="5"/>
        <v>17</v>
      </c>
      <c r="V5" s="23">
        <f t="shared" si="6"/>
        <v>0.91</v>
      </c>
      <c r="W5" s="23">
        <f t="shared" si="7"/>
        <v>7</v>
      </c>
      <c r="Y5" s="9" t="str">
        <f t="shared" si="9"/>
        <v>no</v>
      </c>
    </row>
    <row r="6" spans="1:25">
      <c r="A6" s="17">
        <v>0.16666666666666666</v>
      </c>
      <c r="B6" t="s">
        <v>27</v>
      </c>
      <c r="C6" s="12">
        <v>18</v>
      </c>
      <c r="D6" s="12">
        <v>18</v>
      </c>
      <c r="E6" s="11">
        <v>0.44</v>
      </c>
      <c r="F6" s="13">
        <v>0.15</v>
      </c>
      <c r="G6" s="11">
        <v>0.5</v>
      </c>
      <c r="H6" s="12">
        <v>17</v>
      </c>
      <c r="I6" s="11">
        <v>0.93</v>
      </c>
      <c r="J6" s="14">
        <v>6</v>
      </c>
      <c r="K6" s="31" t="s">
        <v>42</v>
      </c>
      <c r="L6" s="15">
        <v>1009.5</v>
      </c>
      <c r="N6" s="5"/>
      <c r="P6" s="23">
        <f t="shared" si="8"/>
        <v>18</v>
      </c>
      <c r="Q6" s="23">
        <f t="shared" si="1"/>
        <v>18</v>
      </c>
      <c r="R6" s="23">
        <f t="shared" si="2"/>
        <v>0.44</v>
      </c>
      <c r="S6" s="23">
        <f t="shared" si="3"/>
        <v>0.15</v>
      </c>
      <c r="T6" s="23">
        <f t="shared" si="4"/>
        <v>0.5</v>
      </c>
      <c r="U6" s="23">
        <f t="shared" si="5"/>
        <v>17</v>
      </c>
      <c r="V6" s="23">
        <f t="shared" si="6"/>
        <v>0.93</v>
      </c>
      <c r="W6" s="23">
        <f t="shared" si="7"/>
        <v>6</v>
      </c>
      <c r="Y6" s="9" t="str">
        <f t="shared" si="9"/>
        <v>no</v>
      </c>
    </row>
    <row r="7" spans="1:25">
      <c r="A7" s="17">
        <v>0.20833333333333334</v>
      </c>
      <c r="B7" t="s">
        <v>27</v>
      </c>
      <c r="C7" s="12">
        <v>18</v>
      </c>
      <c r="D7" s="12">
        <v>18</v>
      </c>
      <c r="E7" s="11">
        <v>0.44</v>
      </c>
      <c r="F7" s="13">
        <v>0.05</v>
      </c>
      <c r="G7" s="11">
        <v>0.5</v>
      </c>
      <c r="H7" s="12">
        <v>17</v>
      </c>
      <c r="I7" s="11">
        <v>0.96</v>
      </c>
      <c r="J7" s="14">
        <v>6</v>
      </c>
      <c r="K7" s="31" t="s">
        <v>42</v>
      </c>
      <c r="L7" s="15">
        <v>1009.49</v>
      </c>
      <c r="N7" s="5"/>
      <c r="P7" s="23">
        <f t="shared" si="8"/>
        <v>18</v>
      </c>
      <c r="Q7" s="23">
        <f t="shared" si="1"/>
        <v>18</v>
      </c>
      <c r="R7" s="23">
        <f t="shared" si="2"/>
        <v>0.44</v>
      </c>
      <c r="S7" s="23">
        <f t="shared" si="3"/>
        <v>0.05</v>
      </c>
      <c r="T7" s="23">
        <f t="shared" si="4"/>
        <v>0.5</v>
      </c>
      <c r="U7" s="23">
        <f t="shared" si="5"/>
        <v>17</v>
      </c>
      <c r="V7" s="23">
        <f t="shared" si="6"/>
        <v>0.96</v>
      </c>
      <c r="W7" s="23">
        <f t="shared" si="7"/>
        <v>6</v>
      </c>
      <c r="Y7" s="9" t="str">
        <f t="shared" si="9"/>
        <v>no</v>
      </c>
    </row>
    <row r="8" spans="1:25">
      <c r="A8" s="17">
        <v>0.25</v>
      </c>
      <c r="B8" t="s">
        <v>35</v>
      </c>
      <c r="C8" s="12">
        <v>17</v>
      </c>
      <c r="D8" s="12">
        <v>17</v>
      </c>
      <c r="E8" s="11">
        <v>0.24</v>
      </c>
      <c r="F8" s="13">
        <v>0</v>
      </c>
      <c r="G8" s="11">
        <v>0.42</v>
      </c>
      <c r="H8" s="12">
        <v>17</v>
      </c>
      <c r="I8" s="11">
        <v>0.97</v>
      </c>
      <c r="J8" s="14">
        <v>6</v>
      </c>
      <c r="K8" s="31" t="s">
        <v>43</v>
      </c>
      <c r="L8" s="15">
        <v>1009.61</v>
      </c>
      <c r="N8" s="5"/>
      <c r="P8" s="23">
        <f t="shared" si="8"/>
        <v>17</v>
      </c>
      <c r="Q8" s="23">
        <f t="shared" si="1"/>
        <v>17</v>
      </c>
      <c r="R8" s="23">
        <f t="shared" si="2"/>
        <v>0.24</v>
      </c>
      <c r="S8" s="23">
        <f t="shared" si="3"/>
        <v>0</v>
      </c>
      <c r="T8" s="23">
        <f t="shared" si="4"/>
        <v>0.42</v>
      </c>
      <c r="U8" s="23">
        <f t="shared" si="5"/>
        <v>17</v>
      </c>
      <c r="V8" s="23">
        <f t="shared" si="6"/>
        <v>0.97</v>
      </c>
      <c r="W8" s="23">
        <f t="shared" si="7"/>
        <v>6</v>
      </c>
      <c r="Y8" s="9" t="str">
        <f t="shared" si="9"/>
        <v>no</v>
      </c>
    </row>
    <row r="9" spans="1:25">
      <c r="A9" s="17">
        <v>0.29166666666666669</v>
      </c>
      <c r="B9" t="s">
        <v>34</v>
      </c>
      <c r="C9" s="12">
        <v>18</v>
      </c>
      <c r="D9" s="12">
        <v>18</v>
      </c>
      <c r="E9" s="11">
        <v>0.4</v>
      </c>
      <c r="F9" s="13">
        <v>0.15</v>
      </c>
      <c r="G9" s="11">
        <v>0.5</v>
      </c>
      <c r="H9" s="12">
        <v>17</v>
      </c>
      <c r="I9" s="11">
        <v>0.96</v>
      </c>
      <c r="J9" s="14">
        <v>7</v>
      </c>
      <c r="K9" s="31" t="s">
        <v>43</v>
      </c>
      <c r="L9" s="15">
        <v>1009.89</v>
      </c>
      <c r="N9" s="5"/>
      <c r="P9" s="23">
        <f t="shared" si="8"/>
        <v>18</v>
      </c>
      <c r="Q9" s="23">
        <f t="shared" si="1"/>
        <v>18</v>
      </c>
      <c r="R9" s="23">
        <f t="shared" si="2"/>
        <v>0.4</v>
      </c>
      <c r="S9" s="23">
        <f t="shared" si="3"/>
        <v>0.15</v>
      </c>
      <c r="T9" s="23">
        <f t="shared" si="4"/>
        <v>0.5</v>
      </c>
      <c r="U9" s="23">
        <f t="shared" si="5"/>
        <v>17</v>
      </c>
      <c r="V9" s="23">
        <f t="shared" si="6"/>
        <v>0.96</v>
      </c>
      <c r="W9" s="23">
        <f t="shared" si="7"/>
        <v>7</v>
      </c>
      <c r="Y9" s="9" t="str">
        <f t="shared" si="9"/>
        <v>no</v>
      </c>
    </row>
    <row r="10" spans="1:25">
      <c r="A10" s="17">
        <v>0.33333333333333331</v>
      </c>
      <c r="B10" t="s">
        <v>34</v>
      </c>
      <c r="C10" s="12">
        <v>19</v>
      </c>
      <c r="D10" s="12">
        <v>20</v>
      </c>
      <c r="E10" s="11">
        <v>0.54</v>
      </c>
      <c r="F10" s="13">
        <v>0.15</v>
      </c>
      <c r="G10" s="11">
        <v>0.53</v>
      </c>
      <c r="H10" s="12">
        <v>18</v>
      </c>
      <c r="I10" s="11">
        <v>0.93</v>
      </c>
      <c r="J10" s="14">
        <v>8</v>
      </c>
      <c r="K10" s="31" t="s">
        <v>44</v>
      </c>
      <c r="L10" s="15">
        <v>1010.11</v>
      </c>
      <c r="N10" s="5"/>
      <c r="P10" s="23">
        <f t="shared" si="8"/>
        <v>19</v>
      </c>
      <c r="Q10" s="23">
        <f t="shared" si="1"/>
        <v>20</v>
      </c>
      <c r="R10" s="23">
        <f t="shared" si="2"/>
        <v>0.54</v>
      </c>
      <c r="S10" s="23">
        <f t="shared" si="3"/>
        <v>0.15</v>
      </c>
      <c r="T10" s="23">
        <f t="shared" si="4"/>
        <v>0.53</v>
      </c>
      <c r="U10" s="23">
        <f t="shared" si="5"/>
        <v>18</v>
      </c>
      <c r="V10" s="23">
        <f t="shared" si="6"/>
        <v>0.93</v>
      </c>
      <c r="W10" s="23">
        <f t="shared" si="7"/>
        <v>8</v>
      </c>
      <c r="Y10" s="9" t="str">
        <f t="shared" si="9"/>
        <v>no</v>
      </c>
    </row>
    <row r="11" spans="1:25">
      <c r="A11" s="17">
        <v>0.375</v>
      </c>
      <c r="B11" t="s">
        <v>36</v>
      </c>
      <c r="C11" s="12">
        <v>20</v>
      </c>
      <c r="D11" s="12">
        <v>21</v>
      </c>
      <c r="E11" s="11">
        <v>0.65</v>
      </c>
      <c r="F11" s="13">
        <v>0.16</v>
      </c>
      <c r="G11" s="11">
        <v>0.75</v>
      </c>
      <c r="H11" s="12">
        <v>18</v>
      </c>
      <c r="I11" s="11">
        <v>0.86</v>
      </c>
      <c r="J11" s="14">
        <v>9</v>
      </c>
      <c r="K11" s="31" t="s">
        <v>44</v>
      </c>
      <c r="L11" s="15">
        <v>1010.3</v>
      </c>
      <c r="N11" s="5"/>
      <c r="P11" s="23">
        <f t="shared" si="8"/>
        <v>20</v>
      </c>
      <c r="Q11" s="23">
        <f t="shared" si="1"/>
        <v>21</v>
      </c>
      <c r="R11" s="23">
        <f t="shared" si="2"/>
        <v>0.65</v>
      </c>
      <c r="S11" s="23">
        <f t="shared" si="3"/>
        <v>0.16</v>
      </c>
      <c r="T11" s="23">
        <f t="shared" si="4"/>
        <v>0.75</v>
      </c>
      <c r="U11" s="23">
        <f t="shared" si="5"/>
        <v>18</v>
      </c>
      <c r="V11" s="23">
        <f t="shared" si="6"/>
        <v>0.86</v>
      </c>
      <c r="W11" s="23">
        <f t="shared" si="7"/>
        <v>9</v>
      </c>
      <c r="Y11" s="9" t="str">
        <f t="shared" si="9"/>
        <v>no</v>
      </c>
    </row>
    <row r="12" spans="1:25">
      <c r="A12" s="17">
        <v>0.41666666666666669</v>
      </c>
      <c r="B12" t="s">
        <v>36</v>
      </c>
      <c r="C12" s="12">
        <v>22</v>
      </c>
      <c r="D12" s="12">
        <v>22</v>
      </c>
      <c r="E12" s="11">
        <v>0.72</v>
      </c>
      <c r="F12" s="13">
        <v>0.2</v>
      </c>
      <c r="G12" s="11">
        <v>0.75</v>
      </c>
      <c r="H12" s="12">
        <v>18</v>
      </c>
      <c r="I12" s="11">
        <v>0.79</v>
      </c>
      <c r="J12" s="14">
        <v>12</v>
      </c>
      <c r="K12" s="31" t="s">
        <v>44</v>
      </c>
      <c r="L12" s="15">
        <v>1010.3</v>
      </c>
      <c r="N12" s="5"/>
      <c r="P12" s="23">
        <f t="shared" si="8"/>
        <v>22</v>
      </c>
      <c r="Q12" s="23">
        <f t="shared" si="1"/>
        <v>22</v>
      </c>
      <c r="R12" s="23">
        <f t="shared" si="2"/>
        <v>0.72</v>
      </c>
      <c r="S12" s="23">
        <f t="shared" si="3"/>
        <v>0.2</v>
      </c>
      <c r="T12" s="23">
        <f t="shared" si="4"/>
        <v>0.75</v>
      </c>
      <c r="U12" s="23">
        <f t="shared" si="5"/>
        <v>18</v>
      </c>
      <c r="V12" s="23">
        <f t="shared" si="6"/>
        <v>0.79</v>
      </c>
      <c r="W12" s="23">
        <f t="shared" si="7"/>
        <v>12</v>
      </c>
      <c r="Y12" s="9" t="str">
        <f t="shared" si="9"/>
        <v>no</v>
      </c>
    </row>
    <row r="13" spans="1:25">
      <c r="A13" s="17">
        <v>0.45833333333333331</v>
      </c>
      <c r="B13" t="s">
        <v>36</v>
      </c>
      <c r="C13" s="12">
        <v>23</v>
      </c>
      <c r="D13" s="12">
        <v>23</v>
      </c>
      <c r="E13" s="11">
        <v>0.77</v>
      </c>
      <c r="F13" s="13">
        <v>0.39</v>
      </c>
      <c r="G13" s="11">
        <v>0.75</v>
      </c>
      <c r="H13" s="12">
        <v>18</v>
      </c>
      <c r="I13" s="11">
        <v>0.73</v>
      </c>
      <c r="J13" s="14">
        <v>12</v>
      </c>
      <c r="K13" s="31" t="s">
        <v>44</v>
      </c>
      <c r="L13" s="15">
        <v>1010.1</v>
      </c>
      <c r="N13" s="5"/>
      <c r="P13" s="23">
        <f t="shared" si="8"/>
        <v>23</v>
      </c>
      <c r="Q13" s="23">
        <f t="shared" si="1"/>
        <v>23</v>
      </c>
      <c r="R13" s="23">
        <f t="shared" si="2"/>
        <v>0.77</v>
      </c>
      <c r="S13" s="23">
        <f t="shared" si="3"/>
        <v>0.39</v>
      </c>
      <c r="T13" s="23">
        <f t="shared" si="4"/>
        <v>0.75</v>
      </c>
      <c r="U13" s="23">
        <f t="shared" si="5"/>
        <v>18</v>
      </c>
      <c r="V13" s="23">
        <f t="shared" si="6"/>
        <v>0.73</v>
      </c>
      <c r="W13" s="23">
        <f t="shared" si="7"/>
        <v>12</v>
      </c>
      <c r="Y13" s="9" t="str">
        <f t="shared" si="9"/>
        <v>no</v>
      </c>
    </row>
    <row r="14" spans="1:25">
      <c r="A14" s="17">
        <v>0.5</v>
      </c>
      <c r="B14" t="s">
        <v>36</v>
      </c>
      <c r="C14" s="12">
        <v>24</v>
      </c>
      <c r="D14" s="12">
        <v>25</v>
      </c>
      <c r="E14" s="11">
        <v>0.74</v>
      </c>
      <c r="F14" s="13">
        <v>0.4</v>
      </c>
      <c r="G14" s="11">
        <v>0.75</v>
      </c>
      <c r="H14" s="12">
        <v>18</v>
      </c>
      <c r="I14" s="11">
        <v>0.67</v>
      </c>
      <c r="J14" s="14">
        <v>14</v>
      </c>
      <c r="K14" s="31" t="s">
        <v>44</v>
      </c>
      <c r="L14" s="15">
        <v>1009.99</v>
      </c>
      <c r="N14" s="5"/>
      <c r="P14" s="23">
        <f t="shared" si="8"/>
        <v>24</v>
      </c>
      <c r="Q14" s="23">
        <f t="shared" si="1"/>
        <v>25</v>
      </c>
      <c r="R14" s="23">
        <f t="shared" si="2"/>
        <v>0.74</v>
      </c>
      <c r="S14" s="23">
        <f t="shared" si="3"/>
        <v>0.4</v>
      </c>
      <c r="T14" s="23">
        <f t="shared" si="4"/>
        <v>0.75</v>
      </c>
      <c r="U14" s="23">
        <f t="shared" si="5"/>
        <v>18</v>
      </c>
      <c r="V14" s="23">
        <f t="shared" si="6"/>
        <v>0.67</v>
      </c>
      <c r="W14" s="23">
        <f t="shared" si="7"/>
        <v>14</v>
      </c>
      <c r="Y14" s="9" t="str">
        <f t="shared" si="9"/>
        <v>no</v>
      </c>
    </row>
    <row r="15" spans="1:25">
      <c r="A15" s="17">
        <v>0.54166666666666663</v>
      </c>
      <c r="B15" t="s">
        <v>36</v>
      </c>
      <c r="C15" s="12">
        <v>25</v>
      </c>
      <c r="D15" s="12">
        <v>27</v>
      </c>
      <c r="E15" s="11">
        <v>0.81</v>
      </c>
      <c r="F15" s="13">
        <v>0.59</v>
      </c>
      <c r="G15" s="11">
        <v>0.75</v>
      </c>
      <c r="H15" s="12">
        <v>18</v>
      </c>
      <c r="I15" s="11">
        <v>0.64</v>
      </c>
      <c r="J15" s="14">
        <v>15</v>
      </c>
      <c r="K15" s="31" t="s">
        <v>44</v>
      </c>
      <c r="L15" s="15">
        <v>1009.8</v>
      </c>
      <c r="N15" s="5"/>
      <c r="P15" s="23">
        <f t="shared" si="8"/>
        <v>25</v>
      </c>
      <c r="Q15" s="23">
        <f t="shared" si="1"/>
        <v>27</v>
      </c>
      <c r="R15" s="23">
        <f t="shared" si="2"/>
        <v>0.81</v>
      </c>
      <c r="S15" s="23">
        <f t="shared" si="3"/>
        <v>0.59</v>
      </c>
      <c r="T15" s="23">
        <f t="shared" si="4"/>
        <v>0.75</v>
      </c>
      <c r="U15" s="23">
        <f t="shared" si="5"/>
        <v>18</v>
      </c>
      <c r="V15" s="23">
        <f t="shared" si="6"/>
        <v>0.64</v>
      </c>
      <c r="W15" s="23">
        <f t="shared" si="7"/>
        <v>15</v>
      </c>
      <c r="Y15" s="9" t="str">
        <f t="shared" si="9"/>
        <v>no</v>
      </c>
    </row>
    <row r="16" spans="1:25">
      <c r="A16" s="17">
        <v>0.58333333333333337</v>
      </c>
      <c r="B16" t="s">
        <v>36</v>
      </c>
      <c r="C16" s="12">
        <v>26</v>
      </c>
      <c r="D16" s="12">
        <v>27</v>
      </c>
      <c r="E16" s="11">
        <v>0.75</v>
      </c>
      <c r="F16" s="13">
        <v>0.49</v>
      </c>
      <c r="G16" s="11">
        <v>0.75</v>
      </c>
      <c r="H16" s="12">
        <v>17</v>
      </c>
      <c r="I16" s="11">
        <v>0.61</v>
      </c>
      <c r="J16" s="14">
        <v>17</v>
      </c>
      <c r="K16" s="31" t="s">
        <v>44</v>
      </c>
      <c r="L16" s="15">
        <v>1009.7</v>
      </c>
      <c r="N16" s="5"/>
      <c r="P16" s="23">
        <f t="shared" si="8"/>
        <v>26</v>
      </c>
      <c r="Q16" s="23">
        <f t="shared" si="1"/>
        <v>27</v>
      </c>
      <c r="R16" s="23">
        <f t="shared" si="2"/>
        <v>0.75</v>
      </c>
      <c r="S16" s="23">
        <f t="shared" si="3"/>
        <v>0.49</v>
      </c>
      <c r="T16" s="23">
        <f t="shared" si="4"/>
        <v>0.75</v>
      </c>
      <c r="U16" s="23">
        <f t="shared" si="5"/>
        <v>17</v>
      </c>
      <c r="V16" s="23">
        <f t="shared" si="6"/>
        <v>0.61</v>
      </c>
      <c r="W16" s="23">
        <f t="shared" si="7"/>
        <v>17</v>
      </c>
      <c r="Y16" s="9" t="str">
        <f t="shared" si="9"/>
        <v>no</v>
      </c>
    </row>
    <row r="17" spans="1:25">
      <c r="A17" s="17">
        <v>0.625</v>
      </c>
      <c r="B17" t="s">
        <v>36</v>
      </c>
      <c r="C17" s="12">
        <v>26</v>
      </c>
      <c r="D17" s="12">
        <v>28</v>
      </c>
      <c r="E17" s="11">
        <v>0.74</v>
      </c>
      <c r="F17" s="13">
        <v>0.39</v>
      </c>
      <c r="G17" s="11">
        <v>0.75</v>
      </c>
      <c r="H17" s="12">
        <v>17</v>
      </c>
      <c r="I17" s="11">
        <v>0.57999999999999996</v>
      </c>
      <c r="J17" s="14">
        <v>17</v>
      </c>
      <c r="K17" s="31" t="s">
        <v>44</v>
      </c>
      <c r="L17" s="15">
        <v>1009.69</v>
      </c>
      <c r="N17" s="5"/>
      <c r="P17" s="23">
        <f t="shared" si="8"/>
        <v>26</v>
      </c>
      <c r="Q17" s="23">
        <f t="shared" si="1"/>
        <v>28</v>
      </c>
      <c r="R17" s="23">
        <f t="shared" si="2"/>
        <v>0.74</v>
      </c>
      <c r="S17" s="23">
        <f t="shared" si="3"/>
        <v>0.39</v>
      </c>
      <c r="T17" s="23">
        <f t="shared" si="4"/>
        <v>0.75</v>
      </c>
      <c r="U17" s="23">
        <f t="shared" si="5"/>
        <v>17</v>
      </c>
      <c r="V17" s="23">
        <f t="shared" si="6"/>
        <v>0.57999999999999996</v>
      </c>
      <c r="W17" s="23">
        <f t="shared" si="7"/>
        <v>17</v>
      </c>
      <c r="Y17" s="9" t="str">
        <f t="shared" si="9"/>
        <v>no</v>
      </c>
    </row>
    <row r="18" spans="1:25">
      <c r="A18" s="17">
        <v>0.66666666666666663</v>
      </c>
      <c r="B18" t="s">
        <v>36</v>
      </c>
      <c r="C18" s="12">
        <v>27</v>
      </c>
      <c r="D18" s="12">
        <v>28</v>
      </c>
      <c r="E18" s="11">
        <v>0.68</v>
      </c>
      <c r="F18" s="13">
        <v>0.25</v>
      </c>
      <c r="G18" s="11">
        <v>0.75</v>
      </c>
      <c r="H18" s="12">
        <v>17</v>
      </c>
      <c r="I18" s="11">
        <v>0.56000000000000005</v>
      </c>
      <c r="J18" s="14">
        <v>17</v>
      </c>
      <c r="K18" s="31" t="s">
        <v>44</v>
      </c>
      <c r="L18" s="15">
        <v>1009.69</v>
      </c>
      <c r="N18" s="5"/>
      <c r="P18" s="23">
        <f t="shared" si="8"/>
        <v>27</v>
      </c>
      <c r="Q18" s="23">
        <f t="shared" si="1"/>
        <v>28</v>
      </c>
      <c r="R18" s="23">
        <f t="shared" si="2"/>
        <v>0.68</v>
      </c>
      <c r="S18" s="23">
        <f t="shared" si="3"/>
        <v>0.25</v>
      </c>
      <c r="T18" s="23">
        <f t="shared" si="4"/>
        <v>0.75</v>
      </c>
      <c r="U18" s="23">
        <f t="shared" si="5"/>
        <v>17</v>
      </c>
      <c r="V18" s="23">
        <f t="shared" si="6"/>
        <v>0.56000000000000005</v>
      </c>
      <c r="W18" s="23">
        <f t="shared" si="7"/>
        <v>17</v>
      </c>
      <c r="Y18" s="9" t="str">
        <f t="shared" si="9"/>
        <v>no</v>
      </c>
    </row>
    <row r="19" spans="1:25">
      <c r="A19" s="17">
        <v>0.70833333333333337</v>
      </c>
      <c r="B19" t="s">
        <v>27</v>
      </c>
      <c r="C19" s="12">
        <v>26</v>
      </c>
      <c r="D19" s="12">
        <v>28</v>
      </c>
      <c r="E19" s="11">
        <v>0.56000000000000005</v>
      </c>
      <c r="F19" s="13">
        <v>0.25</v>
      </c>
      <c r="G19" s="11">
        <v>0.5</v>
      </c>
      <c r="H19" s="12">
        <v>17</v>
      </c>
      <c r="I19" s="11">
        <v>0.56999999999999995</v>
      </c>
      <c r="J19" s="14">
        <v>18</v>
      </c>
      <c r="K19" s="31" t="s">
        <v>45</v>
      </c>
      <c r="L19" s="15">
        <v>1009.79</v>
      </c>
      <c r="N19" s="5"/>
      <c r="P19" s="23">
        <f t="shared" si="8"/>
        <v>26</v>
      </c>
      <c r="Q19" s="23">
        <f t="shared" si="1"/>
        <v>28</v>
      </c>
      <c r="R19" s="23">
        <f t="shared" si="2"/>
        <v>0.56000000000000005</v>
      </c>
      <c r="S19" s="23">
        <f t="shared" si="3"/>
        <v>0.25</v>
      </c>
      <c r="T19" s="23">
        <f t="shared" si="4"/>
        <v>0.5</v>
      </c>
      <c r="U19" s="23">
        <f t="shared" si="5"/>
        <v>17</v>
      </c>
      <c r="V19" s="23">
        <f t="shared" si="6"/>
        <v>0.56999999999999995</v>
      </c>
      <c r="W19" s="23">
        <f t="shared" si="7"/>
        <v>18</v>
      </c>
      <c r="Y19" s="9" t="str">
        <f t="shared" si="9"/>
        <v>no</v>
      </c>
    </row>
    <row r="20" spans="1:25">
      <c r="A20" s="17">
        <v>0.75</v>
      </c>
      <c r="B20" t="s">
        <v>27</v>
      </c>
      <c r="C20" s="12">
        <v>26</v>
      </c>
      <c r="D20" s="12">
        <v>27</v>
      </c>
      <c r="E20" s="11">
        <v>0.46</v>
      </c>
      <c r="F20" s="13">
        <v>0.25</v>
      </c>
      <c r="G20" s="11">
        <v>0.5</v>
      </c>
      <c r="H20" s="12">
        <v>17</v>
      </c>
      <c r="I20" s="11">
        <v>0.59</v>
      </c>
      <c r="J20" s="14">
        <v>18</v>
      </c>
      <c r="K20" s="31" t="s">
        <v>45</v>
      </c>
      <c r="L20" s="15">
        <v>1010.1</v>
      </c>
      <c r="N20" s="5"/>
      <c r="P20" s="23">
        <f t="shared" si="8"/>
        <v>26</v>
      </c>
      <c r="Q20" s="23">
        <f t="shared" si="1"/>
        <v>27</v>
      </c>
      <c r="R20" s="23">
        <f t="shared" si="2"/>
        <v>0.46</v>
      </c>
      <c r="S20" s="23">
        <f t="shared" si="3"/>
        <v>0.25</v>
      </c>
      <c r="T20" s="23">
        <f t="shared" si="4"/>
        <v>0.5</v>
      </c>
      <c r="U20" s="23">
        <f t="shared" si="5"/>
        <v>17</v>
      </c>
      <c r="V20" s="23">
        <f t="shared" si="6"/>
        <v>0.59</v>
      </c>
      <c r="W20" s="23">
        <f t="shared" si="7"/>
        <v>18</v>
      </c>
      <c r="Y20" s="9" t="str">
        <f t="shared" si="9"/>
        <v>no</v>
      </c>
    </row>
    <row r="21" spans="1:25">
      <c r="A21" s="17">
        <v>0.79166666666666663</v>
      </c>
      <c r="B21" t="s">
        <v>27</v>
      </c>
      <c r="C21" s="12">
        <v>25</v>
      </c>
      <c r="D21" s="12">
        <v>27</v>
      </c>
      <c r="E21" s="11">
        <v>0.44</v>
      </c>
      <c r="F21" s="13">
        <v>0.24</v>
      </c>
      <c r="G21" s="11">
        <v>0.5</v>
      </c>
      <c r="H21" s="12">
        <v>17</v>
      </c>
      <c r="I21" s="11">
        <v>0.6</v>
      </c>
      <c r="J21" s="14">
        <v>19</v>
      </c>
      <c r="K21" s="31" t="s">
        <v>45</v>
      </c>
      <c r="L21" s="15">
        <v>1010.61</v>
      </c>
      <c r="N21" s="5"/>
      <c r="P21" s="23">
        <f t="shared" si="8"/>
        <v>25</v>
      </c>
      <c r="Q21" s="23">
        <f t="shared" si="1"/>
        <v>27</v>
      </c>
      <c r="R21" s="23">
        <f t="shared" si="2"/>
        <v>0.44</v>
      </c>
      <c r="S21" s="23">
        <f t="shared" si="3"/>
        <v>0.24</v>
      </c>
      <c r="T21" s="23">
        <f t="shared" si="4"/>
        <v>0.5</v>
      </c>
      <c r="U21" s="23">
        <f t="shared" si="5"/>
        <v>17</v>
      </c>
      <c r="V21" s="23">
        <f t="shared" si="6"/>
        <v>0.6</v>
      </c>
      <c r="W21" s="23">
        <f t="shared" si="7"/>
        <v>19</v>
      </c>
      <c r="Y21" s="9" t="str">
        <f t="shared" si="9"/>
        <v>no</v>
      </c>
    </row>
    <row r="22" spans="1:25">
      <c r="A22" s="17">
        <v>0.83333333333333337</v>
      </c>
      <c r="B22" t="s">
        <v>27</v>
      </c>
      <c r="C22" s="12">
        <v>24</v>
      </c>
      <c r="D22" s="12">
        <v>25</v>
      </c>
      <c r="E22" s="11">
        <v>0.54</v>
      </c>
      <c r="F22" s="13">
        <v>0.24</v>
      </c>
      <c r="G22" s="11">
        <v>0.5</v>
      </c>
      <c r="H22" s="12">
        <v>17</v>
      </c>
      <c r="I22" s="11">
        <v>0.63</v>
      </c>
      <c r="J22" s="14">
        <v>18</v>
      </c>
      <c r="K22" s="31" t="s">
        <v>45</v>
      </c>
      <c r="L22" s="15">
        <v>1011.3</v>
      </c>
      <c r="N22" s="5"/>
      <c r="P22" s="23">
        <f t="shared" si="8"/>
        <v>24</v>
      </c>
      <c r="Q22" s="23">
        <f t="shared" si="1"/>
        <v>25</v>
      </c>
      <c r="R22" s="23">
        <f t="shared" si="2"/>
        <v>0.54</v>
      </c>
      <c r="S22" s="23">
        <f t="shared" si="3"/>
        <v>0.24</v>
      </c>
      <c r="T22" s="23">
        <f t="shared" si="4"/>
        <v>0.5</v>
      </c>
      <c r="U22" s="23">
        <f t="shared" si="5"/>
        <v>17</v>
      </c>
      <c r="V22" s="23">
        <f t="shared" si="6"/>
        <v>0.63</v>
      </c>
      <c r="W22" s="23">
        <f t="shared" si="7"/>
        <v>18</v>
      </c>
      <c r="Y22" s="9" t="str">
        <f t="shared" si="9"/>
        <v>no</v>
      </c>
    </row>
    <row r="23" spans="1:25">
      <c r="A23" s="17">
        <v>0.875</v>
      </c>
      <c r="B23" t="s">
        <v>27</v>
      </c>
      <c r="C23" s="12">
        <v>23</v>
      </c>
      <c r="D23" s="12">
        <v>23</v>
      </c>
      <c r="E23" s="11">
        <v>0.35</v>
      </c>
      <c r="F23" s="13">
        <v>0.14000000000000001</v>
      </c>
      <c r="G23" s="11">
        <v>0.5</v>
      </c>
      <c r="H23" s="12">
        <v>17</v>
      </c>
      <c r="I23" s="11">
        <v>0.69</v>
      </c>
      <c r="J23" s="14">
        <v>14</v>
      </c>
      <c r="K23" s="31" t="s">
        <v>44</v>
      </c>
      <c r="L23" s="15">
        <v>1012.19</v>
      </c>
      <c r="N23" s="5"/>
      <c r="P23" s="23">
        <f t="shared" si="8"/>
        <v>23</v>
      </c>
      <c r="Q23" s="23">
        <f t="shared" si="1"/>
        <v>23</v>
      </c>
      <c r="R23" s="23">
        <f t="shared" si="2"/>
        <v>0.35</v>
      </c>
      <c r="S23" s="23">
        <f t="shared" si="3"/>
        <v>0.14000000000000001</v>
      </c>
      <c r="T23" s="23">
        <f t="shared" si="4"/>
        <v>0.5</v>
      </c>
      <c r="U23" s="23">
        <f t="shared" si="5"/>
        <v>17</v>
      </c>
      <c r="V23" s="23">
        <f t="shared" si="6"/>
        <v>0.69</v>
      </c>
      <c r="W23" s="23">
        <f t="shared" si="7"/>
        <v>14</v>
      </c>
      <c r="Y23" s="9" t="str">
        <f t="shared" si="9"/>
        <v>no</v>
      </c>
    </row>
    <row r="24" spans="1:25">
      <c r="A24" s="17">
        <v>0.91666666666666663</v>
      </c>
      <c r="B24" t="s">
        <v>35</v>
      </c>
      <c r="C24" s="12">
        <v>22</v>
      </c>
      <c r="D24" s="12">
        <v>22</v>
      </c>
      <c r="E24" s="11">
        <v>0.24</v>
      </c>
      <c r="F24" s="13">
        <v>0</v>
      </c>
      <c r="G24" s="11">
        <v>0.3</v>
      </c>
      <c r="H24" s="12">
        <v>17</v>
      </c>
      <c r="I24" s="11">
        <v>0.74</v>
      </c>
      <c r="J24" s="14">
        <v>13</v>
      </c>
      <c r="K24" s="31" t="s">
        <v>43</v>
      </c>
      <c r="L24" s="15">
        <v>1013.19</v>
      </c>
      <c r="N24" s="5"/>
      <c r="P24" s="23">
        <f t="shared" si="8"/>
        <v>22</v>
      </c>
      <c r="Q24" s="23">
        <f t="shared" si="1"/>
        <v>22</v>
      </c>
      <c r="R24" s="23">
        <f t="shared" si="2"/>
        <v>0.24</v>
      </c>
      <c r="S24" s="23">
        <f t="shared" si="3"/>
        <v>0</v>
      </c>
      <c r="T24" s="23">
        <f t="shared" si="4"/>
        <v>0.3</v>
      </c>
      <c r="U24" s="23">
        <f t="shared" si="5"/>
        <v>17</v>
      </c>
      <c r="V24" s="23">
        <f t="shared" si="6"/>
        <v>0.74</v>
      </c>
      <c r="W24" s="23">
        <f t="shared" si="7"/>
        <v>13</v>
      </c>
      <c r="Y24" s="9" t="str">
        <f t="shared" si="9"/>
        <v>no</v>
      </c>
    </row>
    <row r="25" spans="1:25">
      <c r="A25" s="17">
        <v>0.95833333333333337</v>
      </c>
      <c r="B25" t="s">
        <v>35</v>
      </c>
      <c r="C25" s="12">
        <v>20</v>
      </c>
      <c r="D25" s="12">
        <v>21</v>
      </c>
      <c r="E25" s="11">
        <v>0.24</v>
      </c>
      <c r="F25" s="13">
        <v>0</v>
      </c>
      <c r="G25" s="11">
        <v>0.3</v>
      </c>
      <c r="H25" s="12">
        <v>17</v>
      </c>
      <c r="I25" s="11">
        <v>0.81</v>
      </c>
      <c r="J25" s="14">
        <v>13</v>
      </c>
      <c r="K25" s="31" t="s">
        <v>43</v>
      </c>
      <c r="L25" s="15">
        <v>1013.7</v>
      </c>
      <c r="N25" s="5"/>
      <c r="P25" s="23">
        <f t="shared" si="8"/>
        <v>20</v>
      </c>
      <c r="Q25" s="23">
        <f t="shared" si="1"/>
        <v>21</v>
      </c>
      <c r="R25" s="23">
        <f t="shared" si="2"/>
        <v>0.24</v>
      </c>
      <c r="S25" s="23">
        <f t="shared" si="3"/>
        <v>0</v>
      </c>
      <c r="T25" s="23">
        <f t="shared" si="4"/>
        <v>0.3</v>
      </c>
      <c r="U25" s="23">
        <f t="shared" si="5"/>
        <v>17</v>
      </c>
      <c r="V25" s="23">
        <f t="shared" si="6"/>
        <v>0.81</v>
      </c>
      <c r="W25" s="23">
        <f t="shared" si="7"/>
        <v>13</v>
      </c>
      <c r="Y25" s="9" t="str">
        <f t="shared" si="9"/>
        <v>no</v>
      </c>
    </row>
    <row r="26" spans="1:25">
      <c r="A26" s="17">
        <v>0</v>
      </c>
      <c r="B26" t="s">
        <v>35</v>
      </c>
      <c r="C26" s="12">
        <v>20</v>
      </c>
      <c r="D26" s="12">
        <v>20</v>
      </c>
      <c r="E26" s="11">
        <v>0.21</v>
      </c>
      <c r="F26" s="13">
        <v>0</v>
      </c>
      <c r="G26" s="11">
        <v>0.33</v>
      </c>
      <c r="H26" s="12">
        <v>17</v>
      </c>
      <c r="I26" s="11">
        <v>0.86</v>
      </c>
      <c r="J26" s="14">
        <v>13</v>
      </c>
      <c r="K26" s="31" t="s">
        <v>43</v>
      </c>
      <c r="L26" s="15">
        <v>1014.2</v>
      </c>
      <c r="P26" s="23">
        <f t="shared" si="8"/>
        <v>20</v>
      </c>
      <c r="Q26" s="23">
        <f t="shared" si="1"/>
        <v>20</v>
      </c>
      <c r="R26" s="23">
        <f t="shared" si="2"/>
        <v>0.21</v>
      </c>
      <c r="S26" s="23">
        <f t="shared" si="3"/>
        <v>0</v>
      </c>
      <c r="T26" s="23">
        <f t="shared" si="4"/>
        <v>0.33</v>
      </c>
      <c r="U26" s="23">
        <f t="shared" si="5"/>
        <v>17</v>
      </c>
      <c r="V26" s="23">
        <f t="shared" si="6"/>
        <v>0.86</v>
      </c>
      <c r="W26" s="23">
        <f t="shared" si="7"/>
        <v>13</v>
      </c>
      <c r="Y26" s="9" t="str">
        <f t="shared" si="9"/>
        <v>no</v>
      </c>
    </row>
    <row r="27" spans="1:25">
      <c r="A27" s="17">
        <v>4.1666666666666664E-2</v>
      </c>
      <c r="B27" t="s">
        <v>35</v>
      </c>
      <c r="C27" s="12">
        <v>19</v>
      </c>
      <c r="D27" s="12">
        <v>19</v>
      </c>
      <c r="E27" s="11">
        <v>0.23</v>
      </c>
      <c r="F27" s="13">
        <v>0</v>
      </c>
      <c r="G27" s="11">
        <v>0.38</v>
      </c>
      <c r="H27" s="12">
        <v>17</v>
      </c>
      <c r="I27" s="11">
        <v>0.87</v>
      </c>
      <c r="J27" s="14">
        <v>14</v>
      </c>
      <c r="K27" s="31" t="s">
        <v>43</v>
      </c>
      <c r="L27" s="15">
        <v>1014.5</v>
      </c>
      <c r="P27" s="23">
        <f t="shared" si="8"/>
        <v>19</v>
      </c>
      <c r="Q27" s="23">
        <f t="shared" si="1"/>
        <v>19</v>
      </c>
      <c r="R27" s="23">
        <f t="shared" si="2"/>
        <v>0.23</v>
      </c>
      <c r="S27" s="23">
        <f t="shared" si="3"/>
        <v>0</v>
      </c>
      <c r="T27" s="23">
        <f t="shared" si="4"/>
        <v>0.38</v>
      </c>
      <c r="U27" s="23">
        <f t="shared" si="5"/>
        <v>17</v>
      </c>
      <c r="V27" s="23">
        <f t="shared" si="6"/>
        <v>0.87</v>
      </c>
      <c r="W27" s="23">
        <f t="shared" si="7"/>
        <v>14</v>
      </c>
      <c r="Y27" s="9" t="str">
        <f t="shared" si="9"/>
        <v>no</v>
      </c>
    </row>
    <row r="28" spans="1:25">
      <c r="A28" s="17">
        <v>8.3333333333333329E-2</v>
      </c>
      <c r="B28" t="s">
        <v>35</v>
      </c>
      <c r="C28" s="12">
        <v>18</v>
      </c>
      <c r="D28" s="12">
        <v>18</v>
      </c>
      <c r="E28" s="11">
        <v>0.23</v>
      </c>
      <c r="F28" s="13">
        <v>0</v>
      </c>
      <c r="G28" s="11">
        <v>0.36</v>
      </c>
      <c r="H28" s="12">
        <v>17</v>
      </c>
      <c r="I28" s="11">
        <v>0.9</v>
      </c>
      <c r="J28" s="14">
        <v>13</v>
      </c>
      <c r="K28" s="31" t="s">
        <v>43</v>
      </c>
      <c r="L28" s="15">
        <v>1014.7</v>
      </c>
      <c r="P28" s="23">
        <f t="shared" si="8"/>
        <v>18</v>
      </c>
      <c r="Q28" s="23">
        <f t="shared" si="1"/>
        <v>18</v>
      </c>
      <c r="R28" s="23">
        <f t="shared" si="2"/>
        <v>0.23</v>
      </c>
      <c r="S28" s="23">
        <f t="shared" si="3"/>
        <v>0</v>
      </c>
      <c r="T28" s="23">
        <f t="shared" si="4"/>
        <v>0.36</v>
      </c>
      <c r="U28" s="23">
        <f t="shared" si="5"/>
        <v>17</v>
      </c>
      <c r="V28" s="23">
        <f t="shared" si="6"/>
        <v>0.9</v>
      </c>
      <c r="W28" s="23">
        <f t="shared" si="7"/>
        <v>13</v>
      </c>
      <c r="Y28" s="9" t="str">
        <f t="shared" si="9"/>
        <v>no</v>
      </c>
    </row>
    <row r="29" spans="1:25">
      <c r="A29" s="17">
        <v>0.125</v>
      </c>
      <c r="B29" t="s">
        <v>35</v>
      </c>
      <c r="C29" s="12">
        <v>18</v>
      </c>
      <c r="D29" s="12">
        <v>18</v>
      </c>
      <c r="E29" s="11">
        <v>0.14000000000000001</v>
      </c>
      <c r="F29" s="13">
        <v>0</v>
      </c>
      <c r="G29" s="11">
        <v>0.37</v>
      </c>
      <c r="H29" s="12">
        <v>16</v>
      </c>
      <c r="I29" s="11">
        <v>0.88</v>
      </c>
      <c r="J29" s="14">
        <v>14</v>
      </c>
      <c r="K29" s="31" t="s">
        <v>43</v>
      </c>
      <c r="L29" s="15">
        <v>1014.9</v>
      </c>
      <c r="P29" s="23">
        <f t="shared" si="8"/>
        <v>18</v>
      </c>
      <c r="Q29" s="23">
        <f t="shared" si="1"/>
        <v>18</v>
      </c>
      <c r="R29" s="23">
        <f t="shared" si="2"/>
        <v>0.14000000000000001</v>
      </c>
      <c r="S29" s="23">
        <f t="shared" si="3"/>
        <v>0</v>
      </c>
      <c r="T29" s="23">
        <f t="shared" si="4"/>
        <v>0.37</v>
      </c>
      <c r="U29" s="23">
        <f t="shared" si="5"/>
        <v>16</v>
      </c>
      <c r="V29" s="23">
        <f t="shared" si="6"/>
        <v>0.88</v>
      </c>
      <c r="W29" s="23">
        <f t="shared" si="7"/>
        <v>14</v>
      </c>
      <c r="Y29" s="9" t="str">
        <f t="shared" si="9"/>
        <v>no</v>
      </c>
    </row>
    <row r="30" spans="1:25">
      <c r="A30" s="17">
        <v>0.16666666666666666</v>
      </c>
      <c r="B30" t="s">
        <v>35</v>
      </c>
      <c r="C30" s="12">
        <v>18</v>
      </c>
      <c r="D30" s="12">
        <v>18</v>
      </c>
      <c r="E30" s="11">
        <v>0.14000000000000001</v>
      </c>
      <c r="F30" s="13">
        <v>0</v>
      </c>
      <c r="G30" s="11">
        <v>0.36</v>
      </c>
      <c r="H30" s="12">
        <v>16</v>
      </c>
      <c r="I30" s="11">
        <v>0.9</v>
      </c>
      <c r="J30" s="14">
        <v>13</v>
      </c>
      <c r="K30" s="31" t="s">
        <v>43</v>
      </c>
      <c r="L30" s="15">
        <v>1015.01</v>
      </c>
      <c r="P30" s="23">
        <f t="shared" si="8"/>
        <v>18</v>
      </c>
      <c r="Q30" s="23">
        <f t="shared" si="1"/>
        <v>18</v>
      </c>
      <c r="R30" s="23">
        <f t="shared" si="2"/>
        <v>0.14000000000000001</v>
      </c>
      <c r="S30" s="23">
        <f t="shared" si="3"/>
        <v>0</v>
      </c>
      <c r="T30" s="23">
        <f t="shared" si="4"/>
        <v>0.36</v>
      </c>
      <c r="U30" s="23">
        <f t="shared" si="5"/>
        <v>16</v>
      </c>
      <c r="V30" s="23">
        <f t="shared" si="6"/>
        <v>0.9</v>
      </c>
      <c r="W30" s="23">
        <f t="shared" si="7"/>
        <v>13</v>
      </c>
      <c r="Y30" s="9" t="str">
        <f t="shared" si="9"/>
        <v>no</v>
      </c>
    </row>
    <row r="31" spans="1:25">
      <c r="A31" s="17">
        <v>0.20833333333333334</v>
      </c>
      <c r="B31" t="s">
        <v>35</v>
      </c>
      <c r="C31" s="12">
        <v>17</v>
      </c>
      <c r="D31" s="12">
        <v>17</v>
      </c>
      <c r="E31" s="11">
        <v>0.14000000000000001</v>
      </c>
      <c r="F31" s="13">
        <v>0</v>
      </c>
      <c r="G31" s="11">
        <v>0.34</v>
      </c>
      <c r="H31" s="12">
        <v>16</v>
      </c>
      <c r="I31" s="11">
        <v>0.9</v>
      </c>
      <c r="J31" s="14">
        <v>12</v>
      </c>
      <c r="K31" s="31" t="s">
        <v>43</v>
      </c>
      <c r="L31" s="15">
        <v>1015.3</v>
      </c>
      <c r="P31" s="23">
        <f t="shared" si="8"/>
        <v>17</v>
      </c>
      <c r="Q31" s="23">
        <f t="shared" si="1"/>
        <v>17</v>
      </c>
      <c r="R31" s="23">
        <f t="shared" si="2"/>
        <v>0.14000000000000001</v>
      </c>
      <c r="S31" s="23">
        <f t="shared" si="3"/>
        <v>0</v>
      </c>
      <c r="T31" s="23">
        <f t="shared" si="4"/>
        <v>0.34</v>
      </c>
      <c r="U31" s="23">
        <f t="shared" si="5"/>
        <v>16</v>
      </c>
      <c r="V31" s="23">
        <f t="shared" si="6"/>
        <v>0.9</v>
      </c>
      <c r="W31" s="23">
        <f t="shared" si="7"/>
        <v>12</v>
      </c>
      <c r="Y31" s="9" t="str">
        <f t="shared" si="9"/>
        <v>no</v>
      </c>
    </row>
    <row r="32" spans="1:25">
      <c r="A32" s="17">
        <v>0.25</v>
      </c>
      <c r="B32" t="s">
        <v>35</v>
      </c>
      <c r="C32" s="12">
        <v>17</v>
      </c>
      <c r="D32" s="12">
        <v>17</v>
      </c>
      <c r="E32" s="11">
        <v>0.14000000000000001</v>
      </c>
      <c r="F32" s="13">
        <v>0</v>
      </c>
      <c r="G32" s="11">
        <v>0.3</v>
      </c>
      <c r="H32" s="12">
        <v>15</v>
      </c>
      <c r="I32" s="11">
        <v>0.9</v>
      </c>
      <c r="J32" s="14">
        <v>11</v>
      </c>
      <c r="K32" s="31" t="s">
        <v>43</v>
      </c>
      <c r="L32" s="15">
        <v>1015.5</v>
      </c>
      <c r="P32" s="23">
        <f t="shared" si="8"/>
        <v>17</v>
      </c>
      <c r="Q32" s="23">
        <f t="shared" si="1"/>
        <v>17</v>
      </c>
      <c r="R32" s="23">
        <f t="shared" si="2"/>
        <v>0.14000000000000001</v>
      </c>
      <c r="S32" s="23">
        <f t="shared" si="3"/>
        <v>0</v>
      </c>
      <c r="T32" s="23">
        <f t="shared" si="4"/>
        <v>0.3</v>
      </c>
      <c r="U32" s="23">
        <f t="shared" si="5"/>
        <v>15</v>
      </c>
      <c r="V32" s="23">
        <f t="shared" si="6"/>
        <v>0.9</v>
      </c>
      <c r="W32" s="23">
        <f t="shared" si="7"/>
        <v>11</v>
      </c>
      <c r="Y32" s="9" t="str">
        <f t="shared" si="9"/>
        <v>no</v>
      </c>
    </row>
    <row r="33" spans="1:25">
      <c r="A33" s="17">
        <v>0.29166666666666669</v>
      </c>
      <c r="B33" t="s">
        <v>37</v>
      </c>
      <c r="C33" s="12">
        <v>17</v>
      </c>
      <c r="D33" s="12">
        <v>16</v>
      </c>
      <c r="E33" s="11">
        <v>0.12</v>
      </c>
      <c r="F33" s="13">
        <v>0</v>
      </c>
      <c r="G33" s="11">
        <v>0.27</v>
      </c>
      <c r="H33" s="12">
        <v>15</v>
      </c>
      <c r="I33" s="11">
        <v>0.88</v>
      </c>
      <c r="J33" s="14">
        <v>12</v>
      </c>
      <c r="K33" s="31" t="s">
        <v>43</v>
      </c>
      <c r="L33" s="15">
        <v>1015.8</v>
      </c>
      <c r="P33" s="23">
        <f t="shared" si="8"/>
        <v>17</v>
      </c>
      <c r="Q33" s="23">
        <f t="shared" si="1"/>
        <v>16</v>
      </c>
      <c r="R33" s="23">
        <f t="shared" si="2"/>
        <v>0.12</v>
      </c>
      <c r="S33" s="23">
        <f t="shared" si="3"/>
        <v>0</v>
      </c>
      <c r="T33" s="23">
        <f t="shared" si="4"/>
        <v>0.27</v>
      </c>
      <c r="U33" s="23">
        <f t="shared" si="5"/>
        <v>15</v>
      </c>
      <c r="V33" s="23">
        <f t="shared" si="6"/>
        <v>0.88</v>
      </c>
      <c r="W33" s="23">
        <f t="shared" si="7"/>
        <v>12</v>
      </c>
      <c r="Y33" s="9" t="str">
        <f t="shared" si="9"/>
        <v>no</v>
      </c>
    </row>
    <row r="34" spans="1:25">
      <c r="A34" s="17">
        <v>0.33333333333333331</v>
      </c>
      <c r="B34" t="s">
        <v>37</v>
      </c>
      <c r="C34" s="12">
        <v>18</v>
      </c>
      <c r="D34" s="12">
        <v>18</v>
      </c>
      <c r="E34" s="11">
        <v>0.09</v>
      </c>
      <c r="F34" s="13">
        <v>0</v>
      </c>
      <c r="G34" s="11">
        <v>0.21</v>
      </c>
      <c r="H34" s="12">
        <v>15</v>
      </c>
      <c r="I34" s="11">
        <v>0.82</v>
      </c>
      <c r="J34" s="14">
        <v>14</v>
      </c>
      <c r="K34" s="31" t="s">
        <v>43</v>
      </c>
      <c r="L34" s="15">
        <v>1016.1</v>
      </c>
      <c r="P34" s="23">
        <f t="shared" si="8"/>
        <v>18</v>
      </c>
      <c r="Q34" s="23">
        <f t="shared" si="1"/>
        <v>18</v>
      </c>
      <c r="R34" s="23">
        <f t="shared" si="2"/>
        <v>0.09</v>
      </c>
      <c r="S34" s="23">
        <f t="shared" si="3"/>
        <v>0</v>
      </c>
      <c r="T34" s="23">
        <f t="shared" si="4"/>
        <v>0.21</v>
      </c>
      <c r="U34" s="23">
        <f t="shared" si="5"/>
        <v>15</v>
      </c>
      <c r="V34" s="23">
        <f t="shared" si="6"/>
        <v>0.82</v>
      </c>
      <c r="W34" s="23">
        <f t="shared" si="7"/>
        <v>14</v>
      </c>
      <c r="Y34" s="9" t="str">
        <f t="shared" si="9"/>
        <v>no</v>
      </c>
    </row>
    <row r="35" spans="1:25">
      <c r="A35" s="17">
        <v>0.375</v>
      </c>
      <c r="B35" t="s">
        <v>38</v>
      </c>
      <c r="C35" s="12">
        <v>19</v>
      </c>
      <c r="D35" s="12">
        <v>19</v>
      </c>
      <c r="E35" s="11">
        <v>0.05</v>
      </c>
      <c r="F35" s="13">
        <v>0</v>
      </c>
      <c r="G35" s="11">
        <v>0.13</v>
      </c>
      <c r="H35" s="12">
        <v>14</v>
      </c>
      <c r="I35" s="11">
        <v>0.73</v>
      </c>
      <c r="J35" s="14">
        <v>16</v>
      </c>
      <c r="K35" s="31" t="s">
        <v>44</v>
      </c>
      <c r="L35" s="15">
        <v>1016.21</v>
      </c>
      <c r="P35" s="23">
        <f t="shared" si="8"/>
        <v>19</v>
      </c>
      <c r="Q35" s="23">
        <f t="shared" si="1"/>
        <v>19</v>
      </c>
      <c r="R35" s="23">
        <f t="shared" si="2"/>
        <v>0.05</v>
      </c>
      <c r="S35" s="23">
        <f t="shared" si="3"/>
        <v>0</v>
      </c>
      <c r="T35" s="23">
        <f t="shared" si="4"/>
        <v>0.13</v>
      </c>
      <c r="U35" s="23">
        <f t="shared" si="5"/>
        <v>14</v>
      </c>
      <c r="V35" s="23">
        <f t="shared" si="6"/>
        <v>0.73</v>
      </c>
      <c r="W35" s="23">
        <f t="shared" si="7"/>
        <v>16</v>
      </c>
      <c r="Y35" s="9" t="str">
        <f t="shared" si="9"/>
        <v>no</v>
      </c>
    </row>
    <row r="36" spans="1:25">
      <c r="A36" s="17">
        <v>0.41666666666666669</v>
      </c>
      <c r="B36" t="s">
        <v>38</v>
      </c>
      <c r="C36" s="12">
        <v>21</v>
      </c>
      <c r="D36" s="12">
        <v>21</v>
      </c>
      <c r="E36" s="11">
        <v>0.02</v>
      </c>
      <c r="F36" s="13">
        <v>0</v>
      </c>
      <c r="G36" s="11">
        <v>0.1</v>
      </c>
      <c r="H36" s="12">
        <v>13</v>
      </c>
      <c r="I36" s="11">
        <v>0.63</v>
      </c>
      <c r="J36" s="14">
        <v>19</v>
      </c>
      <c r="K36" s="31" t="s">
        <v>44</v>
      </c>
      <c r="L36" s="15">
        <v>1016.2</v>
      </c>
      <c r="P36" s="23">
        <f t="shared" si="8"/>
        <v>21</v>
      </c>
      <c r="Q36" s="23">
        <f t="shared" si="1"/>
        <v>21</v>
      </c>
      <c r="R36" s="23">
        <f t="shared" si="2"/>
        <v>0.02</v>
      </c>
      <c r="S36" s="23">
        <f t="shared" si="3"/>
        <v>0</v>
      </c>
      <c r="T36" s="23">
        <f t="shared" si="4"/>
        <v>0.1</v>
      </c>
      <c r="U36" s="23">
        <f t="shared" si="5"/>
        <v>13</v>
      </c>
      <c r="V36" s="23">
        <f t="shared" si="6"/>
        <v>0.63</v>
      </c>
      <c r="W36" s="23">
        <f t="shared" si="7"/>
        <v>19</v>
      </c>
      <c r="Y36" s="9" t="str">
        <f t="shared" si="9"/>
        <v>no</v>
      </c>
    </row>
    <row r="37" spans="1:25">
      <c r="A37" s="17">
        <v>0.45833333333333331</v>
      </c>
      <c r="B37" t="s">
        <v>38</v>
      </c>
      <c r="C37" s="12">
        <v>22</v>
      </c>
      <c r="D37" s="12">
        <v>22</v>
      </c>
      <c r="E37" s="11">
        <v>0</v>
      </c>
      <c r="F37" s="13">
        <v>0</v>
      </c>
      <c r="G37" s="11">
        <v>7.0000000000000007E-2</v>
      </c>
      <c r="H37" s="12">
        <v>12</v>
      </c>
      <c r="I37" s="11">
        <v>0.54</v>
      </c>
      <c r="J37" s="14">
        <v>19</v>
      </c>
      <c r="K37" s="31" t="s">
        <v>44</v>
      </c>
      <c r="L37" s="15">
        <v>1016.01</v>
      </c>
      <c r="P37" s="23">
        <f t="shared" si="8"/>
        <v>22</v>
      </c>
      <c r="Q37" s="23">
        <f t="shared" si="1"/>
        <v>22</v>
      </c>
      <c r="R37" s="23">
        <f t="shared" si="2"/>
        <v>0</v>
      </c>
      <c r="S37" s="23">
        <f t="shared" si="3"/>
        <v>0</v>
      </c>
      <c r="T37" s="23">
        <f t="shared" si="4"/>
        <v>7.0000000000000007E-2</v>
      </c>
      <c r="U37" s="23">
        <f t="shared" si="5"/>
        <v>12</v>
      </c>
      <c r="V37" s="23">
        <f t="shared" si="6"/>
        <v>0.54</v>
      </c>
      <c r="W37" s="23">
        <f t="shared" si="7"/>
        <v>19</v>
      </c>
      <c r="Y37" s="9" t="str">
        <f t="shared" si="9"/>
        <v>no</v>
      </c>
    </row>
    <row r="38" spans="1:25">
      <c r="A38" s="17">
        <v>0.5</v>
      </c>
      <c r="B38" t="s">
        <v>38</v>
      </c>
      <c r="C38" s="12">
        <v>23</v>
      </c>
      <c r="D38" s="12">
        <v>23</v>
      </c>
      <c r="E38" s="11">
        <v>0</v>
      </c>
      <c r="F38" s="13">
        <v>0</v>
      </c>
      <c r="G38" s="11">
        <v>0.05</v>
      </c>
      <c r="H38" s="12">
        <v>11</v>
      </c>
      <c r="I38" s="11">
        <v>0.47</v>
      </c>
      <c r="J38" s="14">
        <v>22</v>
      </c>
      <c r="K38" s="31" t="s">
        <v>44</v>
      </c>
      <c r="L38" s="15">
        <v>1015.81</v>
      </c>
      <c r="P38" s="23">
        <f t="shared" si="8"/>
        <v>23</v>
      </c>
      <c r="Q38" s="23">
        <f t="shared" si="1"/>
        <v>23</v>
      </c>
      <c r="R38" s="23">
        <f t="shared" si="2"/>
        <v>0</v>
      </c>
      <c r="S38" s="23">
        <f t="shared" si="3"/>
        <v>0</v>
      </c>
      <c r="T38" s="23">
        <f t="shared" si="4"/>
        <v>0.05</v>
      </c>
      <c r="U38" s="23">
        <f t="shared" si="5"/>
        <v>11</v>
      </c>
      <c r="V38" s="23">
        <f t="shared" si="6"/>
        <v>0.47</v>
      </c>
      <c r="W38" s="23">
        <f t="shared" si="7"/>
        <v>22</v>
      </c>
      <c r="Y38" s="9" t="str">
        <f t="shared" si="9"/>
        <v>no</v>
      </c>
    </row>
    <row r="39" spans="1:25">
      <c r="A39" s="17">
        <v>0.54166666666666663</v>
      </c>
      <c r="B39" t="s">
        <v>38</v>
      </c>
      <c r="C39" s="12">
        <v>24</v>
      </c>
      <c r="D39" s="12">
        <v>24</v>
      </c>
      <c r="E39" s="11">
        <v>0</v>
      </c>
      <c r="F39" s="13">
        <v>0</v>
      </c>
      <c r="G39" s="11">
        <v>0.05</v>
      </c>
      <c r="H39" s="12">
        <v>11</v>
      </c>
      <c r="I39" s="11">
        <v>0.42</v>
      </c>
      <c r="J39" s="14">
        <v>23</v>
      </c>
      <c r="K39" s="31" t="s">
        <v>44</v>
      </c>
      <c r="L39" s="15">
        <v>1015.7</v>
      </c>
      <c r="P39" s="23">
        <f t="shared" si="8"/>
        <v>24</v>
      </c>
      <c r="Q39" s="23">
        <f t="shared" si="1"/>
        <v>24</v>
      </c>
      <c r="R39" s="23">
        <f t="shared" si="2"/>
        <v>0</v>
      </c>
      <c r="S39" s="23">
        <f t="shared" si="3"/>
        <v>0</v>
      </c>
      <c r="T39" s="23">
        <f t="shared" si="4"/>
        <v>0.05</v>
      </c>
      <c r="U39" s="23">
        <f t="shared" si="5"/>
        <v>11</v>
      </c>
      <c r="V39" s="23">
        <f t="shared" si="6"/>
        <v>0.42</v>
      </c>
      <c r="W39" s="23">
        <f t="shared" si="7"/>
        <v>23</v>
      </c>
      <c r="Y39" s="9" t="str">
        <f t="shared" si="9"/>
        <v>no</v>
      </c>
    </row>
    <row r="40" spans="1:25">
      <c r="A40" s="17">
        <v>0.58333333333333337</v>
      </c>
      <c r="B40" t="s">
        <v>38</v>
      </c>
      <c r="C40" s="12">
        <v>25</v>
      </c>
      <c r="D40" s="12">
        <v>25</v>
      </c>
      <c r="E40" s="11">
        <v>0</v>
      </c>
      <c r="F40" s="13">
        <v>0</v>
      </c>
      <c r="G40" s="11">
        <v>0.05</v>
      </c>
      <c r="H40" s="12">
        <v>10</v>
      </c>
      <c r="I40" s="11">
        <v>0.39</v>
      </c>
      <c r="J40" s="14">
        <v>23</v>
      </c>
      <c r="K40" s="31" t="s">
        <v>44</v>
      </c>
      <c r="L40" s="15">
        <v>1015.5</v>
      </c>
      <c r="P40" s="23">
        <f t="shared" si="8"/>
        <v>25</v>
      </c>
      <c r="Q40" s="23">
        <f t="shared" si="1"/>
        <v>25</v>
      </c>
      <c r="R40" s="23">
        <f t="shared" si="2"/>
        <v>0</v>
      </c>
      <c r="S40" s="23">
        <f t="shared" si="3"/>
        <v>0</v>
      </c>
      <c r="T40" s="23">
        <f t="shared" si="4"/>
        <v>0.05</v>
      </c>
      <c r="U40" s="23">
        <f t="shared" si="5"/>
        <v>10</v>
      </c>
      <c r="V40" s="23">
        <f t="shared" si="6"/>
        <v>0.39</v>
      </c>
      <c r="W40" s="23">
        <f t="shared" si="7"/>
        <v>23</v>
      </c>
      <c r="Y40" s="9" t="str">
        <f t="shared" si="9"/>
        <v>no</v>
      </c>
    </row>
    <row r="41" spans="1:25">
      <c r="A41" s="17">
        <v>0.625</v>
      </c>
      <c r="B41" t="s">
        <v>38</v>
      </c>
      <c r="C41" s="12">
        <v>25</v>
      </c>
      <c r="D41" s="12">
        <v>25</v>
      </c>
      <c r="E41" s="11">
        <v>0</v>
      </c>
      <c r="F41" s="13">
        <v>0</v>
      </c>
      <c r="G41" s="11">
        <v>0.05</v>
      </c>
      <c r="H41" s="12">
        <v>10</v>
      </c>
      <c r="I41" s="11">
        <v>0.39</v>
      </c>
      <c r="J41" s="14">
        <v>23</v>
      </c>
      <c r="K41" s="31" t="s">
        <v>44</v>
      </c>
      <c r="L41" s="15">
        <v>1015.21</v>
      </c>
      <c r="P41" s="23">
        <f t="shared" si="8"/>
        <v>25</v>
      </c>
      <c r="Q41" s="23">
        <f t="shared" si="1"/>
        <v>25</v>
      </c>
      <c r="R41" s="23">
        <f t="shared" si="2"/>
        <v>0</v>
      </c>
      <c r="S41" s="23">
        <f t="shared" si="3"/>
        <v>0</v>
      </c>
      <c r="T41" s="23">
        <f t="shared" si="4"/>
        <v>0.05</v>
      </c>
      <c r="U41" s="23">
        <f t="shared" si="5"/>
        <v>10</v>
      </c>
      <c r="V41" s="23">
        <f t="shared" si="6"/>
        <v>0.39</v>
      </c>
      <c r="W41" s="23">
        <f t="shared" si="7"/>
        <v>23</v>
      </c>
      <c r="Y41" s="9" t="str">
        <f t="shared" si="9"/>
        <v>no</v>
      </c>
    </row>
    <row r="42" spans="1:25">
      <c r="A42" s="17">
        <v>0.66666666666666663</v>
      </c>
      <c r="B42" t="s">
        <v>38</v>
      </c>
      <c r="C42" s="12">
        <v>26</v>
      </c>
      <c r="D42" s="12">
        <v>26</v>
      </c>
      <c r="E42" s="11">
        <v>0</v>
      </c>
      <c r="F42" s="13">
        <v>0</v>
      </c>
      <c r="G42" s="11">
        <v>0.09</v>
      </c>
      <c r="H42" s="12">
        <v>10</v>
      </c>
      <c r="I42" s="11">
        <v>0.38</v>
      </c>
      <c r="J42" s="14">
        <v>23</v>
      </c>
      <c r="K42" s="31" t="s">
        <v>44</v>
      </c>
      <c r="L42" s="15">
        <v>1015.01</v>
      </c>
      <c r="P42" s="23">
        <f t="shared" si="8"/>
        <v>26</v>
      </c>
      <c r="Q42" s="23">
        <f t="shared" si="1"/>
        <v>26</v>
      </c>
      <c r="R42" s="23">
        <f t="shared" si="2"/>
        <v>0</v>
      </c>
      <c r="S42" s="23">
        <f t="shared" si="3"/>
        <v>0</v>
      </c>
      <c r="T42" s="23">
        <f t="shared" si="4"/>
        <v>0.09</v>
      </c>
      <c r="U42" s="23">
        <f t="shared" si="5"/>
        <v>10</v>
      </c>
      <c r="V42" s="23">
        <f t="shared" si="6"/>
        <v>0.38</v>
      </c>
      <c r="W42" s="23">
        <f t="shared" si="7"/>
        <v>23</v>
      </c>
      <c r="Y42" s="9" t="str">
        <f t="shared" si="9"/>
        <v>no</v>
      </c>
    </row>
    <row r="43" spans="1:25">
      <c r="A43" s="17">
        <v>0.70833333333333337</v>
      </c>
      <c r="B43" t="s">
        <v>38</v>
      </c>
      <c r="C43" s="12">
        <v>25</v>
      </c>
      <c r="D43" s="12">
        <v>25</v>
      </c>
      <c r="E43" s="11">
        <v>0</v>
      </c>
      <c r="F43" s="13">
        <v>0</v>
      </c>
      <c r="G43" s="11">
        <v>0.13</v>
      </c>
      <c r="H43" s="12">
        <v>10</v>
      </c>
      <c r="I43" s="11">
        <v>0.4</v>
      </c>
      <c r="J43" s="14">
        <v>24</v>
      </c>
      <c r="K43" s="31" t="s">
        <v>44</v>
      </c>
      <c r="L43" s="15">
        <v>1015</v>
      </c>
      <c r="P43" s="23">
        <f t="shared" si="8"/>
        <v>25</v>
      </c>
      <c r="Q43" s="23">
        <f t="shared" si="1"/>
        <v>25</v>
      </c>
      <c r="R43" s="23">
        <f t="shared" si="2"/>
        <v>0</v>
      </c>
      <c r="S43" s="23">
        <f t="shared" si="3"/>
        <v>0</v>
      </c>
      <c r="T43" s="23">
        <f t="shared" si="4"/>
        <v>0.13</v>
      </c>
      <c r="U43" s="23">
        <f t="shared" si="5"/>
        <v>10</v>
      </c>
      <c r="V43" s="23">
        <f t="shared" si="6"/>
        <v>0.4</v>
      </c>
      <c r="W43" s="23">
        <f t="shared" si="7"/>
        <v>24</v>
      </c>
      <c r="Y43" s="9" t="str">
        <f t="shared" si="9"/>
        <v>no</v>
      </c>
    </row>
    <row r="44" spans="1:25">
      <c r="A44" s="17">
        <v>0.75</v>
      </c>
      <c r="B44" t="s">
        <v>38</v>
      </c>
      <c r="C44" s="12">
        <v>24</v>
      </c>
      <c r="D44" s="12">
        <v>24</v>
      </c>
      <c r="E44" s="11">
        <v>0</v>
      </c>
      <c r="F44" s="13">
        <v>0</v>
      </c>
      <c r="G44" s="11">
        <v>0.16</v>
      </c>
      <c r="H44" s="12">
        <v>11</v>
      </c>
      <c r="I44" s="11">
        <v>0.42</v>
      </c>
      <c r="J44" s="14">
        <v>22</v>
      </c>
      <c r="K44" s="31" t="s">
        <v>44</v>
      </c>
      <c r="L44" s="15">
        <v>1015.2</v>
      </c>
      <c r="P44" s="23">
        <f t="shared" si="8"/>
        <v>24</v>
      </c>
      <c r="Q44" s="23">
        <f t="shared" si="1"/>
        <v>24</v>
      </c>
      <c r="R44" s="23">
        <f t="shared" si="2"/>
        <v>0</v>
      </c>
      <c r="S44" s="23">
        <f t="shared" si="3"/>
        <v>0</v>
      </c>
      <c r="T44" s="23">
        <f t="shared" si="4"/>
        <v>0.16</v>
      </c>
      <c r="U44" s="23">
        <f t="shared" si="5"/>
        <v>11</v>
      </c>
      <c r="V44" s="23">
        <f t="shared" si="6"/>
        <v>0.42</v>
      </c>
      <c r="W44" s="23">
        <f t="shared" si="7"/>
        <v>22</v>
      </c>
      <c r="Y44" s="9" t="str">
        <f t="shared" si="9"/>
        <v>no</v>
      </c>
    </row>
    <row r="45" spans="1:25">
      <c r="A45" s="17">
        <v>0.79166666666666663</v>
      </c>
      <c r="B45" t="s">
        <v>38</v>
      </c>
      <c r="C45" s="12">
        <v>24</v>
      </c>
      <c r="D45" s="12">
        <v>24</v>
      </c>
      <c r="E45" s="11">
        <v>0</v>
      </c>
      <c r="F45" s="13">
        <v>0</v>
      </c>
      <c r="G45" s="11">
        <v>0.16</v>
      </c>
      <c r="H45" s="12">
        <v>11</v>
      </c>
      <c r="I45" s="11">
        <v>0.44</v>
      </c>
      <c r="J45" s="14">
        <v>21</v>
      </c>
      <c r="K45" s="31" t="s">
        <v>45</v>
      </c>
      <c r="L45" s="15">
        <v>1015.6</v>
      </c>
      <c r="P45" s="23">
        <f t="shared" si="8"/>
        <v>24</v>
      </c>
      <c r="Q45" s="23">
        <f t="shared" si="1"/>
        <v>24</v>
      </c>
      <c r="R45" s="23">
        <f t="shared" si="2"/>
        <v>0</v>
      </c>
      <c r="S45" s="23">
        <f t="shared" si="3"/>
        <v>0</v>
      </c>
      <c r="T45" s="23">
        <f t="shared" si="4"/>
        <v>0.16</v>
      </c>
      <c r="U45" s="23">
        <f t="shared" si="5"/>
        <v>11</v>
      </c>
      <c r="V45" s="23">
        <f t="shared" si="6"/>
        <v>0.44</v>
      </c>
      <c r="W45" s="23">
        <f t="shared" si="7"/>
        <v>21</v>
      </c>
      <c r="Y45" s="9" t="str">
        <f t="shared" si="9"/>
        <v>no</v>
      </c>
    </row>
    <row r="46" spans="1:25">
      <c r="A46" s="17">
        <v>0.83333333333333337</v>
      </c>
      <c r="B46" t="s">
        <v>38</v>
      </c>
      <c r="C46" s="12">
        <v>23</v>
      </c>
      <c r="D46" s="12">
        <v>23</v>
      </c>
      <c r="E46" s="11">
        <v>0</v>
      </c>
      <c r="F46" s="13">
        <v>0</v>
      </c>
      <c r="G46" s="11">
        <v>0.13</v>
      </c>
      <c r="H46" s="12">
        <v>11</v>
      </c>
      <c r="I46" s="11">
        <v>0.46</v>
      </c>
      <c r="J46" s="14">
        <v>18</v>
      </c>
      <c r="K46" s="31" t="s">
        <v>45</v>
      </c>
      <c r="L46" s="15">
        <v>1016.1</v>
      </c>
      <c r="P46" s="23">
        <f t="shared" si="8"/>
        <v>23</v>
      </c>
      <c r="Q46" s="23">
        <f t="shared" si="1"/>
        <v>23</v>
      </c>
      <c r="R46" s="23">
        <f t="shared" si="2"/>
        <v>0</v>
      </c>
      <c r="S46" s="23">
        <f t="shared" si="3"/>
        <v>0</v>
      </c>
      <c r="T46" s="23">
        <f t="shared" si="4"/>
        <v>0.13</v>
      </c>
      <c r="U46" s="23">
        <f t="shared" si="5"/>
        <v>11</v>
      </c>
      <c r="V46" s="23">
        <f t="shared" si="6"/>
        <v>0.46</v>
      </c>
      <c r="W46" s="23">
        <f t="shared" si="7"/>
        <v>18</v>
      </c>
      <c r="Y46" s="9" t="str">
        <f t="shared" si="9"/>
        <v>no</v>
      </c>
    </row>
    <row r="47" spans="1:25">
      <c r="A47" s="17">
        <v>0.875</v>
      </c>
      <c r="B47" t="s">
        <v>39</v>
      </c>
      <c r="C47" s="12">
        <v>21</v>
      </c>
      <c r="D47" s="12">
        <v>21</v>
      </c>
      <c r="E47" s="11">
        <v>0.02</v>
      </c>
      <c r="F47" s="13">
        <v>0</v>
      </c>
      <c r="G47" s="11">
        <v>0.1</v>
      </c>
      <c r="H47" s="12">
        <v>11</v>
      </c>
      <c r="I47" s="11">
        <v>0.52</v>
      </c>
      <c r="J47" s="14">
        <v>14</v>
      </c>
      <c r="K47" s="31" t="s">
        <v>45</v>
      </c>
      <c r="L47" s="15">
        <v>1016.7</v>
      </c>
      <c r="P47" s="23">
        <f t="shared" si="8"/>
        <v>21</v>
      </c>
      <c r="Q47" s="23">
        <f t="shared" si="1"/>
        <v>21</v>
      </c>
      <c r="R47" s="23">
        <f t="shared" si="2"/>
        <v>0.02</v>
      </c>
      <c r="S47" s="23">
        <f t="shared" si="3"/>
        <v>0</v>
      </c>
      <c r="T47" s="23">
        <f t="shared" si="4"/>
        <v>0.1</v>
      </c>
      <c r="U47" s="23">
        <f t="shared" si="5"/>
        <v>11</v>
      </c>
      <c r="V47" s="23">
        <f t="shared" si="6"/>
        <v>0.52</v>
      </c>
      <c r="W47" s="23">
        <f t="shared" si="7"/>
        <v>14</v>
      </c>
      <c r="Y47" s="9" t="str">
        <f t="shared" si="9"/>
        <v>no</v>
      </c>
    </row>
    <row r="48" spans="1:25">
      <c r="A48" s="17">
        <v>0.91666666666666663</v>
      </c>
      <c r="B48" t="s">
        <v>39</v>
      </c>
      <c r="C48" s="12">
        <v>20</v>
      </c>
      <c r="D48" s="12">
        <v>20</v>
      </c>
      <c r="E48" s="11">
        <v>0.04</v>
      </c>
      <c r="F48" s="13">
        <v>0</v>
      </c>
      <c r="G48" s="11">
        <v>0.1</v>
      </c>
      <c r="H48" s="12">
        <v>11</v>
      </c>
      <c r="I48" s="11">
        <v>0.59</v>
      </c>
      <c r="J48" s="14">
        <v>13</v>
      </c>
      <c r="K48" s="31" t="s">
        <v>44</v>
      </c>
      <c r="L48" s="15">
        <v>1017.4</v>
      </c>
      <c r="P48" s="23">
        <f t="shared" si="8"/>
        <v>20</v>
      </c>
      <c r="Q48" s="23">
        <f t="shared" si="1"/>
        <v>20</v>
      </c>
      <c r="R48" s="23">
        <f t="shared" si="2"/>
        <v>0.04</v>
      </c>
      <c r="S48" s="23">
        <f t="shared" si="3"/>
        <v>0</v>
      </c>
      <c r="T48" s="23">
        <f t="shared" si="4"/>
        <v>0.1</v>
      </c>
      <c r="U48" s="23">
        <f t="shared" si="5"/>
        <v>11</v>
      </c>
      <c r="V48" s="23">
        <f t="shared" si="6"/>
        <v>0.59</v>
      </c>
      <c r="W48" s="23">
        <f t="shared" si="7"/>
        <v>13</v>
      </c>
      <c r="Y48" s="9" t="str">
        <f t="shared" si="9"/>
        <v>no</v>
      </c>
    </row>
    <row r="49" spans="1:25">
      <c r="A49" s="17">
        <v>0.95833333333333337</v>
      </c>
      <c r="B49" t="s">
        <v>39</v>
      </c>
      <c r="C49" s="12">
        <v>18</v>
      </c>
      <c r="D49" s="12">
        <v>18</v>
      </c>
      <c r="E49" s="11">
        <v>0.05</v>
      </c>
      <c r="F49" s="13">
        <v>0</v>
      </c>
      <c r="G49" s="11">
        <v>7.0000000000000007E-2</v>
      </c>
      <c r="H49" s="12">
        <v>12</v>
      </c>
      <c r="I49" s="11">
        <v>0.66</v>
      </c>
      <c r="J49" s="14">
        <v>12</v>
      </c>
      <c r="K49" s="31" t="s">
        <v>43</v>
      </c>
      <c r="L49" s="15">
        <v>1017.9</v>
      </c>
      <c r="P49" s="23">
        <f t="shared" si="8"/>
        <v>18</v>
      </c>
      <c r="Q49" s="23">
        <f t="shared" si="1"/>
        <v>18</v>
      </c>
      <c r="R49" s="23">
        <f t="shared" si="2"/>
        <v>0.05</v>
      </c>
      <c r="S49" s="23">
        <f t="shared" si="3"/>
        <v>0</v>
      </c>
      <c r="T49" s="23">
        <f t="shared" si="4"/>
        <v>7.0000000000000007E-2</v>
      </c>
      <c r="U49" s="23">
        <f t="shared" si="5"/>
        <v>12</v>
      </c>
      <c r="V49" s="23">
        <f t="shared" si="6"/>
        <v>0.66</v>
      </c>
      <c r="W49" s="23">
        <f t="shared" si="7"/>
        <v>12</v>
      </c>
      <c r="Y49" s="9" t="str">
        <f t="shared" si="9"/>
        <v>no</v>
      </c>
    </row>
    <row r="50" spans="1:25">
      <c r="A50" s="17">
        <v>0</v>
      </c>
      <c r="B50" t="s">
        <v>39</v>
      </c>
      <c r="C50" s="12">
        <v>17</v>
      </c>
      <c r="D50" s="12">
        <v>17</v>
      </c>
      <c r="E50" s="11">
        <v>7.0000000000000007E-2</v>
      </c>
      <c r="F50" s="13">
        <v>0</v>
      </c>
      <c r="G50" s="11">
        <v>0.06</v>
      </c>
      <c r="H50" s="12">
        <v>12</v>
      </c>
      <c r="I50" s="11">
        <v>0.72</v>
      </c>
      <c r="J50" s="14">
        <v>11</v>
      </c>
      <c r="K50" s="31" t="s">
        <v>44</v>
      </c>
      <c r="L50" s="15">
        <v>1018.3</v>
      </c>
      <c r="P50" s="23">
        <f t="shared" si="8"/>
        <v>17</v>
      </c>
      <c r="Q50" s="23">
        <f t="shared" si="1"/>
        <v>17</v>
      </c>
      <c r="R50" s="23">
        <f t="shared" si="2"/>
        <v>7.0000000000000007E-2</v>
      </c>
      <c r="S50" s="23">
        <f t="shared" si="3"/>
        <v>0</v>
      </c>
      <c r="T50" s="23">
        <f t="shared" si="4"/>
        <v>0.06</v>
      </c>
      <c r="U50" s="23">
        <f t="shared" si="5"/>
        <v>12</v>
      </c>
      <c r="V50" s="23">
        <f t="shared" si="6"/>
        <v>0.72</v>
      </c>
      <c r="W50" s="23">
        <f t="shared" si="7"/>
        <v>11</v>
      </c>
      <c r="Y50" s="9" t="str">
        <f t="shared" si="9"/>
        <v>no</v>
      </c>
    </row>
    <row r="51" spans="1:25">
      <c r="A51" s="17">
        <v>4.1666666666666664E-2</v>
      </c>
      <c r="B51" t="s">
        <v>39</v>
      </c>
      <c r="C51" s="12">
        <v>16</v>
      </c>
      <c r="D51" s="12">
        <v>16</v>
      </c>
      <c r="E51" s="11">
        <v>0.09</v>
      </c>
      <c r="F51" s="13">
        <v>0</v>
      </c>
      <c r="G51" s="11">
        <v>0.06</v>
      </c>
      <c r="H51" s="12">
        <v>12</v>
      </c>
      <c r="I51" s="11">
        <v>0.76</v>
      </c>
      <c r="J51" s="14">
        <v>10</v>
      </c>
      <c r="K51" s="31" t="s">
        <v>44</v>
      </c>
      <c r="L51" s="15">
        <v>1018.39</v>
      </c>
      <c r="P51" s="23">
        <f t="shared" si="8"/>
        <v>16</v>
      </c>
      <c r="Q51" s="23">
        <f t="shared" si="1"/>
        <v>16</v>
      </c>
      <c r="R51" s="23">
        <f t="shared" si="2"/>
        <v>0.09</v>
      </c>
      <c r="S51" s="23">
        <f t="shared" si="3"/>
        <v>0</v>
      </c>
      <c r="T51" s="23">
        <f t="shared" si="4"/>
        <v>0.06</v>
      </c>
      <c r="U51" s="23">
        <f t="shared" si="5"/>
        <v>12</v>
      </c>
      <c r="V51" s="23">
        <f t="shared" si="6"/>
        <v>0.76</v>
      </c>
      <c r="W51" s="23">
        <f t="shared" si="7"/>
        <v>10</v>
      </c>
      <c r="Y51" s="9" t="str">
        <f t="shared" si="9"/>
        <v>no</v>
      </c>
    </row>
    <row r="52" spans="1:25">
      <c r="A52" s="17">
        <v>8.3333333333333329E-2</v>
      </c>
      <c r="B52" t="s">
        <v>39</v>
      </c>
      <c r="C52" s="12">
        <v>15</v>
      </c>
      <c r="D52" s="12">
        <v>15</v>
      </c>
      <c r="E52" s="11">
        <v>0.11</v>
      </c>
      <c r="F52" s="13">
        <v>0</v>
      </c>
      <c r="G52" s="11">
        <v>7.0000000000000007E-2</v>
      </c>
      <c r="H52" s="12">
        <v>12</v>
      </c>
      <c r="I52" s="11">
        <v>0.8</v>
      </c>
      <c r="J52" s="14">
        <v>10</v>
      </c>
      <c r="K52" s="31" t="s">
        <v>43</v>
      </c>
      <c r="L52" s="15">
        <v>1018.39</v>
      </c>
      <c r="P52" s="23">
        <f t="shared" si="8"/>
        <v>15</v>
      </c>
      <c r="Q52" s="23">
        <f t="shared" si="1"/>
        <v>15</v>
      </c>
      <c r="R52" s="23">
        <f t="shared" si="2"/>
        <v>0.11</v>
      </c>
      <c r="S52" s="23">
        <f t="shared" si="3"/>
        <v>0</v>
      </c>
      <c r="T52" s="23">
        <f t="shared" si="4"/>
        <v>7.0000000000000007E-2</v>
      </c>
      <c r="U52" s="23">
        <f t="shared" si="5"/>
        <v>12</v>
      </c>
      <c r="V52" s="23">
        <f t="shared" si="6"/>
        <v>0.8</v>
      </c>
      <c r="W52" s="23">
        <f t="shared" si="7"/>
        <v>10</v>
      </c>
      <c r="Y52" s="9" t="str">
        <f t="shared" si="9"/>
        <v>no</v>
      </c>
    </row>
    <row r="53" spans="1:25">
      <c r="A53" s="17">
        <v>0.125</v>
      </c>
      <c r="B53" t="s">
        <v>39</v>
      </c>
      <c r="C53" s="12">
        <v>15</v>
      </c>
      <c r="D53" s="12">
        <v>14</v>
      </c>
      <c r="E53" s="11">
        <v>0.19</v>
      </c>
      <c r="F53" s="13">
        <v>0</v>
      </c>
      <c r="G53" s="11">
        <v>0.08</v>
      </c>
      <c r="H53" s="12">
        <v>12</v>
      </c>
      <c r="I53" s="11">
        <v>0.83</v>
      </c>
      <c r="J53" s="14">
        <v>9</v>
      </c>
      <c r="K53" s="31" t="s">
        <v>43</v>
      </c>
      <c r="L53" s="15">
        <v>1018.39</v>
      </c>
      <c r="P53" s="23">
        <f t="shared" si="8"/>
        <v>15</v>
      </c>
      <c r="Q53" s="23">
        <f t="shared" si="1"/>
        <v>14</v>
      </c>
      <c r="R53" s="23">
        <f t="shared" si="2"/>
        <v>0.19</v>
      </c>
      <c r="S53" s="23">
        <f t="shared" si="3"/>
        <v>0</v>
      </c>
      <c r="T53" s="23">
        <f t="shared" si="4"/>
        <v>0.08</v>
      </c>
      <c r="U53" s="23">
        <f t="shared" si="5"/>
        <v>12</v>
      </c>
      <c r="V53" s="23">
        <f t="shared" si="6"/>
        <v>0.83</v>
      </c>
      <c r="W53" s="23">
        <f t="shared" si="7"/>
        <v>9</v>
      </c>
      <c r="Y53" s="9" t="str">
        <f t="shared" si="9"/>
        <v>no</v>
      </c>
    </row>
    <row r="54" spans="1:25">
      <c r="A54" s="17">
        <v>0.16666666666666666</v>
      </c>
      <c r="B54" t="s">
        <v>39</v>
      </c>
      <c r="C54" s="12">
        <v>14</v>
      </c>
      <c r="D54" s="12">
        <v>14</v>
      </c>
      <c r="E54" s="11">
        <v>0.19</v>
      </c>
      <c r="F54" s="13">
        <v>0</v>
      </c>
      <c r="G54" s="11">
        <v>0.09</v>
      </c>
      <c r="H54" s="12">
        <v>12</v>
      </c>
      <c r="I54" s="11">
        <v>0.86</v>
      </c>
      <c r="J54" s="14">
        <v>8</v>
      </c>
      <c r="K54" s="31" t="s">
        <v>43</v>
      </c>
      <c r="L54" s="15">
        <v>1018.41</v>
      </c>
      <c r="P54" s="23">
        <f t="shared" si="8"/>
        <v>14</v>
      </c>
      <c r="Q54" s="23">
        <f t="shared" si="1"/>
        <v>14</v>
      </c>
      <c r="R54" s="23">
        <f t="shared" si="2"/>
        <v>0.19</v>
      </c>
      <c r="S54" s="23">
        <f t="shared" si="3"/>
        <v>0</v>
      </c>
      <c r="T54" s="23">
        <f t="shared" si="4"/>
        <v>0.09</v>
      </c>
      <c r="U54" s="23">
        <f t="shared" si="5"/>
        <v>12</v>
      </c>
      <c r="V54" s="23">
        <f t="shared" si="6"/>
        <v>0.86</v>
      </c>
      <c r="W54" s="23">
        <f t="shared" si="7"/>
        <v>8</v>
      </c>
      <c r="Y54" s="9" t="str">
        <f t="shared" si="9"/>
        <v>no</v>
      </c>
    </row>
    <row r="55" spans="1:25">
      <c r="A55" s="17">
        <v>0.20833333333333334</v>
      </c>
      <c r="B55" t="s">
        <v>39</v>
      </c>
      <c r="C55" s="12">
        <v>14</v>
      </c>
      <c r="D55" s="12">
        <v>14</v>
      </c>
      <c r="E55" s="11">
        <v>0.21</v>
      </c>
      <c r="F55" s="13">
        <v>0</v>
      </c>
      <c r="G55" s="11">
        <v>0.1</v>
      </c>
      <c r="H55" s="12">
        <v>12</v>
      </c>
      <c r="I55" s="11">
        <v>0.89</v>
      </c>
      <c r="J55" s="14">
        <v>7</v>
      </c>
      <c r="K55" s="31" t="s">
        <v>43</v>
      </c>
      <c r="L55" s="15">
        <v>1018.49</v>
      </c>
      <c r="P55" s="23">
        <f t="shared" si="8"/>
        <v>14</v>
      </c>
      <c r="Q55" s="23">
        <f t="shared" si="1"/>
        <v>14</v>
      </c>
      <c r="R55" s="23">
        <f t="shared" si="2"/>
        <v>0.21</v>
      </c>
      <c r="S55" s="23">
        <f t="shared" si="3"/>
        <v>0</v>
      </c>
      <c r="T55" s="23">
        <f t="shared" si="4"/>
        <v>0.1</v>
      </c>
      <c r="U55" s="23">
        <f t="shared" si="5"/>
        <v>12</v>
      </c>
      <c r="V55" s="23">
        <f t="shared" si="6"/>
        <v>0.89</v>
      </c>
      <c r="W55" s="23">
        <f t="shared" si="7"/>
        <v>7</v>
      </c>
      <c r="Y55" s="9" t="str">
        <f t="shared" si="9"/>
        <v>no</v>
      </c>
    </row>
    <row r="56" spans="1:25">
      <c r="A56" s="17">
        <v>0.25</v>
      </c>
      <c r="B56" t="s">
        <v>39</v>
      </c>
      <c r="C56" s="12">
        <v>14</v>
      </c>
      <c r="D56" s="12">
        <v>13</v>
      </c>
      <c r="E56" s="11">
        <v>0.19</v>
      </c>
      <c r="F56" s="13">
        <v>0</v>
      </c>
      <c r="G56" s="11">
        <v>0.12</v>
      </c>
      <c r="H56" s="12">
        <v>12</v>
      </c>
      <c r="I56" s="11">
        <v>0.89</v>
      </c>
      <c r="J56" s="14">
        <v>7</v>
      </c>
      <c r="K56" s="31" t="s">
        <v>43</v>
      </c>
      <c r="L56" s="15">
        <v>1018.51</v>
      </c>
      <c r="P56" s="23">
        <f t="shared" si="8"/>
        <v>14</v>
      </c>
      <c r="Q56" s="23">
        <f t="shared" si="1"/>
        <v>13</v>
      </c>
      <c r="R56" s="23">
        <f t="shared" si="2"/>
        <v>0.19</v>
      </c>
      <c r="S56" s="23">
        <f t="shared" si="3"/>
        <v>0</v>
      </c>
      <c r="T56" s="23">
        <f t="shared" si="4"/>
        <v>0.12</v>
      </c>
      <c r="U56" s="23">
        <f t="shared" si="5"/>
        <v>12</v>
      </c>
      <c r="V56" s="23">
        <f t="shared" si="6"/>
        <v>0.89</v>
      </c>
      <c r="W56" s="23">
        <f t="shared" si="7"/>
        <v>7</v>
      </c>
      <c r="Y56" s="9" t="str">
        <f t="shared" si="9"/>
        <v>no</v>
      </c>
    </row>
    <row r="57" spans="1:25">
      <c r="A57" s="17">
        <v>0.29166666666666669</v>
      </c>
      <c r="B57" t="s">
        <v>38</v>
      </c>
      <c r="C57" s="12">
        <v>14</v>
      </c>
      <c r="D57" s="12">
        <v>14</v>
      </c>
      <c r="E57" s="11">
        <v>0.18</v>
      </c>
      <c r="F57" s="13">
        <v>0</v>
      </c>
      <c r="G57" s="11">
        <v>0.12</v>
      </c>
      <c r="H57" s="12">
        <v>12</v>
      </c>
      <c r="I57" s="11">
        <v>0.86</v>
      </c>
      <c r="J57" s="14">
        <v>7</v>
      </c>
      <c r="K57" s="31" t="s">
        <v>43</v>
      </c>
      <c r="L57" s="15">
        <v>1018.61</v>
      </c>
      <c r="P57" s="23">
        <f t="shared" si="8"/>
        <v>14</v>
      </c>
      <c r="Q57" s="23">
        <f t="shared" si="1"/>
        <v>14</v>
      </c>
      <c r="R57" s="23">
        <f t="shared" si="2"/>
        <v>0.18</v>
      </c>
      <c r="S57" s="23">
        <f t="shared" si="3"/>
        <v>0</v>
      </c>
      <c r="T57" s="23">
        <f t="shared" si="4"/>
        <v>0.12</v>
      </c>
      <c r="U57" s="23">
        <f t="shared" si="5"/>
        <v>12</v>
      </c>
      <c r="V57" s="23">
        <f t="shared" si="6"/>
        <v>0.86</v>
      </c>
      <c r="W57" s="23">
        <f t="shared" si="7"/>
        <v>7</v>
      </c>
      <c r="Y57" s="9" t="str">
        <f t="shared" si="9"/>
        <v>no</v>
      </c>
    </row>
    <row r="58" spans="1:25">
      <c r="A58" s="17">
        <v>0.33333333333333331</v>
      </c>
      <c r="B58" t="s">
        <v>38</v>
      </c>
      <c r="C58" s="12">
        <v>16</v>
      </c>
      <c r="D58" s="12">
        <v>16</v>
      </c>
      <c r="E58" s="11">
        <v>0.14000000000000001</v>
      </c>
      <c r="F58" s="13">
        <v>0</v>
      </c>
      <c r="G58" s="11">
        <v>0.12</v>
      </c>
      <c r="H58" s="12">
        <v>12</v>
      </c>
      <c r="I58" s="11">
        <v>0.8</v>
      </c>
      <c r="J58" s="14">
        <v>8</v>
      </c>
      <c r="K58" s="31" t="s">
        <v>44</v>
      </c>
      <c r="L58" s="15">
        <v>1018.61</v>
      </c>
      <c r="P58" s="23">
        <f t="shared" si="8"/>
        <v>16</v>
      </c>
      <c r="Q58" s="23">
        <f t="shared" si="1"/>
        <v>16</v>
      </c>
      <c r="R58" s="23">
        <f t="shared" si="2"/>
        <v>0.14000000000000001</v>
      </c>
      <c r="S58" s="23">
        <f t="shared" si="3"/>
        <v>0</v>
      </c>
      <c r="T58" s="23">
        <f t="shared" si="4"/>
        <v>0.12</v>
      </c>
      <c r="U58" s="23">
        <f t="shared" si="5"/>
        <v>12</v>
      </c>
      <c r="V58" s="23">
        <f t="shared" si="6"/>
        <v>0.8</v>
      </c>
      <c r="W58" s="23">
        <f t="shared" si="7"/>
        <v>8</v>
      </c>
      <c r="Y58" s="9" t="str">
        <f t="shared" si="9"/>
        <v>no</v>
      </c>
    </row>
    <row r="59" spans="1:25">
      <c r="A59" s="17">
        <v>0.375</v>
      </c>
      <c r="B59" t="s">
        <v>38</v>
      </c>
      <c r="C59" s="12">
        <v>18</v>
      </c>
      <c r="D59" s="12">
        <v>18</v>
      </c>
      <c r="E59" s="11">
        <v>0.19</v>
      </c>
      <c r="F59" s="13">
        <v>0</v>
      </c>
      <c r="G59" s="11">
        <v>0.14000000000000001</v>
      </c>
      <c r="H59" s="12">
        <v>12</v>
      </c>
      <c r="I59" s="11">
        <v>0.71</v>
      </c>
      <c r="J59" s="14">
        <v>8</v>
      </c>
      <c r="K59" s="31" t="s">
        <v>45</v>
      </c>
      <c r="L59" s="15">
        <v>1018.6</v>
      </c>
      <c r="P59" s="23">
        <f t="shared" si="8"/>
        <v>18</v>
      </c>
      <c r="Q59" s="23">
        <f t="shared" si="1"/>
        <v>18</v>
      </c>
      <c r="R59" s="23">
        <f t="shared" si="2"/>
        <v>0.19</v>
      </c>
      <c r="S59" s="23">
        <f t="shared" si="3"/>
        <v>0</v>
      </c>
      <c r="T59" s="23">
        <f t="shared" si="4"/>
        <v>0.14000000000000001</v>
      </c>
      <c r="U59" s="23">
        <f t="shared" si="5"/>
        <v>12</v>
      </c>
      <c r="V59" s="23">
        <f t="shared" si="6"/>
        <v>0.71</v>
      </c>
      <c r="W59" s="23">
        <f t="shared" si="7"/>
        <v>8</v>
      </c>
      <c r="Y59" s="9" t="str">
        <f t="shared" si="9"/>
        <v>no</v>
      </c>
    </row>
    <row r="60" spans="1:25">
      <c r="A60" s="17">
        <v>0.41666666666666669</v>
      </c>
      <c r="B60" t="s">
        <v>37</v>
      </c>
      <c r="C60" s="12">
        <v>20</v>
      </c>
      <c r="D60" s="12">
        <v>20</v>
      </c>
      <c r="E60" s="11">
        <v>0.16</v>
      </c>
      <c r="F60" s="13">
        <v>0</v>
      </c>
      <c r="G60" s="11">
        <v>0.2</v>
      </c>
      <c r="H60" s="12">
        <v>12</v>
      </c>
      <c r="I60" s="11">
        <v>0.62</v>
      </c>
      <c r="J60" s="14">
        <v>9</v>
      </c>
      <c r="K60" s="31" t="s">
        <v>45</v>
      </c>
      <c r="L60" s="15">
        <v>1018.41</v>
      </c>
      <c r="P60" s="23">
        <f t="shared" si="8"/>
        <v>20</v>
      </c>
      <c r="Q60" s="23">
        <f t="shared" si="1"/>
        <v>20</v>
      </c>
      <c r="R60" s="23">
        <f t="shared" si="2"/>
        <v>0.16</v>
      </c>
      <c r="S60" s="23">
        <f t="shared" si="3"/>
        <v>0</v>
      </c>
      <c r="T60" s="23">
        <f t="shared" si="4"/>
        <v>0.2</v>
      </c>
      <c r="U60" s="23">
        <f t="shared" si="5"/>
        <v>12</v>
      </c>
      <c r="V60" s="23">
        <f t="shared" si="6"/>
        <v>0.62</v>
      </c>
      <c r="W60" s="23">
        <f t="shared" si="7"/>
        <v>9</v>
      </c>
      <c r="Y60" s="9" t="str">
        <f t="shared" si="9"/>
        <v>no</v>
      </c>
    </row>
    <row r="61" spans="1:25">
      <c r="A61" s="17">
        <v>0.45833333333333331</v>
      </c>
      <c r="B61" t="s">
        <v>37</v>
      </c>
      <c r="C61" s="12">
        <v>22</v>
      </c>
      <c r="D61" s="12">
        <v>22</v>
      </c>
      <c r="E61" s="11">
        <v>0.12</v>
      </c>
      <c r="F61" s="13">
        <v>0</v>
      </c>
      <c r="G61" s="11">
        <v>0.28999999999999998</v>
      </c>
      <c r="H61" s="12">
        <v>12</v>
      </c>
      <c r="I61" s="11">
        <v>0.55000000000000004</v>
      </c>
      <c r="J61" s="14">
        <v>8</v>
      </c>
      <c r="K61" s="31" t="s">
        <v>41</v>
      </c>
      <c r="L61" s="15">
        <v>1018.1</v>
      </c>
      <c r="P61" s="23">
        <f t="shared" si="8"/>
        <v>22</v>
      </c>
      <c r="Q61" s="23">
        <f t="shared" si="1"/>
        <v>22</v>
      </c>
      <c r="R61" s="23">
        <f t="shared" si="2"/>
        <v>0.12</v>
      </c>
      <c r="S61" s="23">
        <f t="shared" si="3"/>
        <v>0</v>
      </c>
      <c r="T61" s="23">
        <f t="shared" si="4"/>
        <v>0.28999999999999998</v>
      </c>
      <c r="U61" s="23">
        <f t="shared" si="5"/>
        <v>12</v>
      </c>
      <c r="V61" s="23">
        <f t="shared" si="6"/>
        <v>0.55000000000000004</v>
      </c>
      <c r="W61" s="23">
        <f t="shared" si="7"/>
        <v>8</v>
      </c>
      <c r="Y61" s="9" t="str">
        <f t="shared" si="9"/>
        <v>no</v>
      </c>
    </row>
    <row r="62" spans="1:25">
      <c r="A62" s="17">
        <v>0.5</v>
      </c>
      <c r="B62" t="s">
        <v>35</v>
      </c>
      <c r="C62" s="12">
        <v>23</v>
      </c>
      <c r="D62" s="12">
        <v>23</v>
      </c>
      <c r="E62" s="11">
        <v>0.04</v>
      </c>
      <c r="F62" s="13">
        <v>0</v>
      </c>
      <c r="G62" s="11">
        <v>0.37</v>
      </c>
      <c r="H62" s="12">
        <v>12</v>
      </c>
      <c r="I62" s="11">
        <v>0.49</v>
      </c>
      <c r="J62" s="14">
        <v>10</v>
      </c>
      <c r="K62" s="31" t="s">
        <v>33</v>
      </c>
      <c r="L62" s="15">
        <v>1017.69</v>
      </c>
      <c r="P62" s="23">
        <f t="shared" si="8"/>
        <v>23</v>
      </c>
      <c r="Q62" s="23">
        <f t="shared" si="1"/>
        <v>23</v>
      </c>
      <c r="R62" s="23">
        <f t="shared" si="2"/>
        <v>0.04</v>
      </c>
      <c r="S62" s="23">
        <f t="shared" si="3"/>
        <v>0</v>
      </c>
      <c r="T62" s="23">
        <f t="shared" si="4"/>
        <v>0.37</v>
      </c>
      <c r="U62" s="23">
        <f t="shared" si="5"/>
        <v>12</v>
      </c>
      <c r="V62" s="23">
        <f t="shared" si="6"/>
        <v>0.49</v>
      </c>
      <c r="W62" s="23">
        <f t="shared" si="7"/>
        <v>10</v>
      </c>
      <c r="Y62" s="9" t="str">
        <f t="shared" si="9"/>
        <v>no</v>
      </c>
    </row>
    <row r="63" spans="1:25">
      <c r="A63" s="17">
        <v>0.54166666666666663</v>
      </c>
      <c r="B63" t="s">
        <v>35</v>
      </c>
      <c r="C63" s="12">
        <v>25</v>
      </c>
      <c r="D63" s="12">
        <v>25</v>
      </c>
      <c r="E63" s="11">
        <v>0.04</v>
      </c>
      <c r="F63" s="13">
        <v>0</v>
      </c>
      <c r="G63" s="11">
        <v>0.41</v>
      </c>
      <c r="H63" s="12">
        <v>12</v>
      </c>
      <c r="I63" s="11">
        <v>0.44</v>
      </c>
      <c r="J63" s="14">
        <v>10</v>
      </c>
      <c r="K63" s="31" t="s">
        <v>31</v>
      </c>
      <c r="L63" s="15">
        <v>1017.19</v>
      </c>
      <c r="P63" s="23">
        <f t="shared" si="8"/>
        <v>25</v>
      </c>
      <c r="Q63" s="23">
        <f t="shared" si="1"/>
        <v>25</v>
      </c>
      <c r="R63" s="23">
        <f t="shared" si="2"/>
        <v>0.04</v>
      </c>
      <c r="S63" s="23">
        <f t="shared" si="3"/>
        <v>0</v>
      </c>
      <c r="T63" s="23">
        <f t="shared" si="4"/>
        <v>0.41</v>
      </c>
      <c r="U63" s="23">
        <f t="shared" si="5"/>
        <v>12</v>
      </c>
      <c r="V63" s="23">
        <f t="shared" si="6"/>
        <v>0.44</v>
      </c>
      <c r="W63" s="23">
        <f t="shared" si="7"/>
        <v>10</v>
      </c>
      <c r="Y63" s="9" t="str">
        <f t="shared" si="9"/>
        <v>no</v>
      </c>
    </row>
    <row r="64" spans="1:25">
      <c r="A64" s="17">
        <v>0.58333333333333337</v>
      </c>
      <c r="B64" t="s">
        <v>35</v>
      </c>
      <c r="C64" s="12">
        <v>26</v>
      </c>
      <c r="D64" s="12">
        <v>26</v>
      </c>
      <c r="E64" s="11">
        <v>0.04</v>
      </c>
      <c r="F64" s="13">
        <v>0</v>
      </c>
      <c r="G64" s="11">
        <v>0.44</v>
      </c>
      <c r="H64" s="12">
        <v>11</v>
      </c>
      <c r="I64" s="11">
        <v>0.4</v>
      </c>
      <c r="J64" s="14">
        <v>12</v>
      </c>
      <c r="K64" s="31" t="s">
        <v>31</v>
      </c>
      <c r="L64" s="15">
        <v>1016.61</v>
      </c>
      <c r="P64" s="23">
        <f t="shared" si="8"/>
        <v>26</v>
      </c>
      <c r="Q64" s="23">
        <f t="shared" si="1"/>
        <v>26</v>
      </c>
      <c r="R64" s="23">
        <f t="shared" si="2"/>
        <v>0.04</v>
      </c>
      <c r="S64" s="23">
        <f t="shared" si="3"/>
        <v>0</v>
      </c>
      <c r="T64" s="23">
        <f t="shared" si="4"/>
        <v>0.44</v>
      </c>
      <c r="U64" s="23">
        <f t="shared" si="5"/>
        <v>11</v>
      </c>
      <c r="V64" s="23">
        <f t="shared" si="6"/>
        <v>0.4</v>
      </c>
      <c r="W64" s="23">
        <f t="shared" si="7"/>
        <v>12</v>
      </c>
      <c r="Y64" s="9" t="str">
        <f t="shared" si="9"/>
        <v>no</v>
      </c>
    </row>
    <row r="65" spans="1:25">
      <c r="A65" s="17">
        <v>0.625</v>
      </c>
      <c r="B65" t="s">
        <v>35</v>
      </c>
      <c r="C65" s="12">
        <v>26</v>
      </c>
      <c r="D65" s="12">
        <v>26</v>
      </c>
      <c r="E65" s="11">
        <v>0</v>
      </c>
      <c r="F65" s="13">
        <v>0</v>
      </c>
      <c r="G65" s="11">
        <v>0.48</v>
      </c>
      <c r="H65" s="12">
        <v>11</v>
      </c>
      <c r="I65" s="11">
        <v>0.4</v>
      </c>
      <c r="J65" s="14">
        <v>13</v>
      </c>
      <c r="K65" s="31" t="s">
        <v>31</v>
      </c>
      <c r="L65" s="15">
        <v>1016.19</v>
      </c>
      <c r="P65" s="23">
        <f t="shared" si="8"/>
        <v>26</v>
      </c>
      <c r="Q65" s="23">
        <f t="shared" si="1"/>
        <v>26</v>
      </c>
      <c r="R65" s="23">
        <f t="shared" si="2"/>
        <v>0</v>
      </c>
      <c r="S65" s="23">
        <f t="shared" si="3"/>
        <v>0</v>
      </c>
      <c r="T65" s="23">
        <f t="shared" si="4"/>
        <v>0.48</v>
      </c>
      <c r="U65" s="23">
        <f t="shared" si="5"/>
        <v>11</v>
      </c>
      <c r="V65" s="23">
        <f t="shared" si="6"/>
        <v>0.4</v>
      </c>
      <c r="W65" s="23">
        <f t="shared" si="7"/>
        <v>13</v>
      </c>
      <c r="Y65" s="9" t="str">
        <f t="shared" si="9"/>
        <v>no</v>
      </c>
    </row>
    <row r="66" spans="1:25">
      <c r="A66" s="17">
        <v>0.66666666666666663</v>
      </c>
      <c r="B66" t="s">
        <v>35</v>
      </c>
      <c r="C66" s="12">
        <v>26</v>
      </c>
      <c r="D66" s="12">
        <v>27</v>
      </c>
      <c r="E66" s="11">
        <v>0</v>
      </c>
      <c r="F66" s="13">
        <v>0</v>
      </c>
      <c r="G66" s="11">
        <v>0.48</v>
      </c>
      <c r="H66" s="12">
        <v>12</v>
      </c>
      <c r="I66" s="11">
        <v>0.4</v>
      </c>
      <c r="J66" s="14">
        <v>14</v>
      </c>
      <c r="K66" s="31" t="s">
        <v>31</v>
      </c>
      <c r="L66" s="15">
        <v>1015.79</v>
      </c>
      <c r="P66" s="23">
        <f t="shared" si="8"/>
        <v>26</v>
      </c>
      <c r="Q66" s="23">
        <f t="shared" ref="Q66:Q121" si="10">VALUE(D66)</f>
        <v>27</v>
      </c>
      <c r="R66" s="23">
        <f t="shared" ref="R66:R121" si="11">VALUE(E66)</f>
        <v>0</v>
      </c>
      <c r="S66" s="23">
        <f t="shared" ref="S66:S121" si="12">VALUE(F66)</f>
        <v>0</v>
      </c>
      <c r="T66" s="23">
        <f t="shared" ref="T66:T121" si="13">VALUE(G66)</f>
        <v>0.48</v>
      </c>
      <c r="U66" s="23">
        <f t="shared" ref="U66:U121" si="14">VALUE(H66)</f>
        <v>12</v>
      </c>
      <c r="V66" s="23">
        <f t="shared" ref="V66:V121" si="15">VALUE(I66)</f>
        <v>0.4</v>
      </c>
      <c r="W66" s="23">
        <f t="shared" ref="W66:W121" si="16">VALUE(J66)</f>
        <v>14</v>
      </c>
      <c r="Y66" s="9" t="str">
        <f t="shared" si="9"/>
        <v>no</v>
      </c>
    </row>
    <row r="67" spans="1:25">
      <c r="A67" s="17">
        <v>0.70833333333333337</v>
      </c>
      <c r="B67" t="s">
        <v>35</v>
      </c>
      <c r="C67" s="12">
        <v>26</v>
      </c>
      <c r="D67" s="12">
        <v>26</v>
      </c>
      <c r="E67" s="11">
        <v>0</v>
      </c>
      <c r="F67" s="13">
        <v>0</v>
      </c>
      <c r="G67" s="11">
        <v>0.45</v>
      </c>
      <c r="H67" s="12">
        <v>11</v>
      </c>
      <c r="I67" s="11">
        <v>0.39</v>
      </c>
      <c r="J67" s="14">
        <v>15</v>
      </c>
      <c r="K67" s="31" t="s">
        <v>31</v>
      </c>
      <c r="L67" s="15">
        <v>1015.49</v>
      </c>
      <c r="P67" s="23">
        <f t="shared" ref="P67:P121" si="17">VALUE(C67)</f>
        <v>26</v>
      </c>
      <c r="Q67" s="23">
        <f t="shared" si="10"/>
        <v>26</v>
      </c>
      <c r="R67" s="23">
        <f t="shared" si="11"/>
        <v>0</v>
      </c>
      <c r="S67" s="23">
        <f t="shared" si="12"/>
        <v>0</v>
      </c>
      <c r="T67" s="23">
        <f t="shared" si="13"/>
        <v>0.45</v>
      </c>
      <c r="U67" s="23">
        <f t="shared" si="14"/>
        <v>11</v>
      </c>
      <c r="V67" s="23">
        <f t="shared" si="15"/>
        <v>0.39</v>
      </c>
      <c r="W67" s="23">
        <f t="shared" si="16"/>
        <v>15</v>
      </c>
      <c r="Y67" s="9" t="str">
        <f t="shared" ref="Y67:Y121" si="18">IF(AND(V67&gt;98,W67&lt;13,(P67-U67)&lt;2,P67&gt;=-5),"yes","no")</f>
        <v>no</v>
      </c>
    </row>
    <row r="68" spans="1:25">
      <c r="A68" s="17">
        <v>0.75</v>
      </c>
      <c r="B68" t="s">
        <v>35</v>
      </c>
      <c r="C68" s="12">
        <v>26</v>
      </c>
      <c r="D68" s="12">
        <v>26</v>
      </c>
      <c r="E68" s="11">
        <v>0</v>
      </c>
      <c r="F68" s="13">
        <v>0</v>
      </c>
      <c r="G68" s="11">
        <v>0.47</v>
      </c>
      <c r="H68" s="12">
        <v>11</v>
      </c>
      <c r="I68" s="11">
        <v>0.4</v>
      </c>
      <c r="J68" s="14">
        <v>15</v>
      </c>
      <c r="K68" s="31" t="s">
        <v>31</v>
      </c>
      <c r="L68" s="15">
        <v>1015.31</v>
      </c>
      <c r="P68" s="23">
        <f t="shared" si="17"/>
        <v>26</v>
      </c>
      <c r="Q68" s="23">
        <f t="shared" si="10"/>
        <v>26</v>
      </c>
      <c r="R68" s="23">
        <f t="shared" si="11"/>
        <v>0</v>
      </c>
      <c r="S68" s="23">
        <f t="shared" si="12"/>
        <v>0</v>
      </c>
      <c r="T68" s="23">
        <f t="shared" si="13"/>
        <v>0.47</v>
      </c>
      <c r="U68" s="23">
        <f t="shared" si="14"/>
        <v>11</v>
      </c>
      <c r="V68" s="23">
        <f t="shared" si="15"/>
        <v>0.4</v>
      </c>
      <c r="W68" s="23">
        <f t="shared" si="16"/>
        <v>15</v>
      </c>
      <c r="Y68" s="9" t="str">
        <f t="shared" si="18"/>
        <v>no</v>
      </c>
    </row>
    <row r="69" spans="1:25">
      <c r="A69" s="17">
        <v>0.79166666666666663</v>
      </c>
      <c r="B69" t="s">
        <v>35</v>
      </c>
      <c r="C69" s="12">
        <v>25</v>
      </c>
      <c r="D69" s="12">
        <v>25</v>
      </c>
      <c r="E69" s="11">
        <v>0</v>
      </c>
      <c r="F69" s="13">
        <v>0</v>
      </c>
      <c r="G69" s="11">
        <v>0.39</v>
      </c>
      <c r="H69" s="12">
        <v>11</v>
      </c>
      <c r="I69" s="11">
        <v>0.41</v>
      </c>
      <c r="J69" s="14">
        <v>16</v>
      </c>
      <c r="K69" s="31" t="s">
        <v>32</v>
      </c>
      <c r="L69" s="15">
        <v>1015.39</v>
      </c>
      <c r="P69" s="23">
        <f t="shared" si="17"/>
        <v>25</v>
      </c>
      <c r="Q69" s="23">
        <f t="shared" si="10"/>
        <v>25</v>
      </c>
      <c r="R69" s="23">
        <f t="shared" si="11"/>
        <v>0</v>
      </c>
      <c r="S69" s="23">
        <f t="shared" si="12"/>
        <v>0</v>
      </c>
      <c r="T69" s="23">
        <f t="shared" si="13"/>
        <v>0.39</v>
      </c>
      <c r="U69" s="23">
        <f t="shared" si="14"/>
        <v>11</v>
      </c>
      <c r="V69" s="23">
        <f t="shared" si="15"/>
        <v>0.41</v>
      </c>
      <c r="W69" s="23">
        <f t="shared" si="16"/>
        <v>16</v>
      </c>
      <c r="Y69" s="9" t="str">
        <f t="shared" si="18"/>
        <v>no</v>
      </c>
    </row>
    <row r="70" spans="1:25">
      <c r="A70" s="17">
        <v>0.83333333333333337</v>
      </c>
      <c r="B70" t="s">
        <v>35</v>
      </c>
      <c r="C70" s="12">
        <v>24</v>
      </c>
      <c r="D70" s="12">
        <v>24</v>
      </c>
      <c r="E70" s="11">
        <v>0.02</v>
      </c>
      <c r="F70" s="13">
        <v>0</v>
      </c>
      <c r="G70" s="11">
        <v>0.32</v>
      </c>
      <c r="H70" s="12">
        <v>12</v>
      </c>
      <c r="I70" s="11">
        <v>0.46</v>
      </c>
      <c r="J70" s="14">
        <v>13</v>
      </c>
      <c r="K70" s="31" t="s">
        <v>31</v>
      </c>
      <c r="L70" s="15">
        <v>1015.59</v>
      </c>
      <c r="P70" s="23">
        <f t="shared" si="17"/>
        <v>24</v>
      </c>
      <c r="Q70" s="23">
        <f t="shared" si="10"/>
        <v>24</v>
      </c>
      <c r="R70" s="23">
        <f t="shared" si="11"/>
        <v>0.02</v>
      </c>
      <c r="S70" s="23">
        <f t="shared" si="12"/>
        <v>0</v>
      </c>
      <c r="T70" s="23">
        <f t="shared" si="13"/>
        <v>0.32</v>
      </c>
      <c r="U70" s="23">
        <f t="shared" si="14"/>
        <v>12</v>
      </c>
      <c r="V70" s="23">
        <f t="shared" si="15"/>
        <v>0.46</v>
      </c>
      <c r="W70" s="23">
        <f t="shared" si="16"/>
        <v>13</v>
      </c>
      <c r="Y70" s="9" t="str">
        <f t="shared" si="18"/>
        <v>no</v>
      </c>
    </row>
    <row r="71" spans="1:25">
      <c r="A71" s="17">
        <v>0.875</v>
      </c>
      <c r="B71" t="s">
        <v>40</v>
      </c>
      <c r="C71" s="12">
        <v>22</v>
      </c>
      <c r="D71" s="12">
        <v>22</v>
      </c>
      <c r="E71" s="11">
        <v>0.05</v>
      </c>
      <c r="F71" s="13">
        <v>0</v>
      </c>
      <c r="G71" s="11">
        <v>0.26</v>
      </c>
      <c r="H71" s="12">
        <v>12</v>
      </c>
      <c r="I71" s="11">
        <v>0.52</v>
      </c>
      <c r="J71" s="14">
        <v>10</v>
      </c>
      <c r="K71" s="31" t="s">
        <v>32</v>
      </c>
      <c r="L71" s="15">
        <v>1015.89</v>
      </c>
      <c r="P71" s="23">
        <f t="shared" si="17"/>
        <v>22</v>
      </c>
      <c r="Q71" s="23">
        <f t="shared" si="10"/>
        <v>22</v>
      </c>
      <c r="R71" s="23">
        <f t="shared" si="11"/>
        <v>0.05</v>
      </c>
      <c r="S71" s="23">
        <f t="shared" si="12"/>
        <v>0</v>
      </c>
      <c r="T71" s="23">
        <f t="shared" si="13"/>
        <v>0.26</v>
      </c>
      <c r="U71" s="23">
        <f t="shared" si="14"/>
        <v>12</v>
      </c>
      <c r="V71" s="23">
        <f t="shared" si="15"/>
        <v>0.52</v>
      </c>
      <c r="W71" s="23">
        <f t="shared" si="16"/>
        <v>10</v>
      </c>
      <c r="Y71" s="9" t="str">
        <f t="shared" si="18"/>
        <v>no</v>
      </c>
    </row>
    <row r="72" spans="1:25">
      <c r="A72" s="17">
        <v>0.91666666666666663</v>
      </c>
      <c r="B72" t="s">
        <v>40</v>
      </c>
      <c r="C72" s="12">
        <v>21</v>
      </c>
      <c r="D72" s="12">
        <v>21</v>
      </c>
      <c r="E72" s="11">
        <v>7.0000000000000007E-2</v>
      </c>
      <c r="F72" s="13">
        <v>0</v>
      </c>
      <c r="G72" s="11">
        <v>0.23</v>
      </c>
      <c r="H72" s="12">
        <v>12</v>
      </c>
      <c r="I72" s="11">
        <v>0.57999999999999996</v>
      </c>
      <c r="J72" s="14">
        <v>8</v>
      </c>
      <c r="K72" s="31" t="s">
        <v>26</v>
      </c>
      <c r="L72" s="15">
        <v>1016.39</v>
      </c>
      <c r="P72" s="23">
        <f t="shared" si="17"/>
        <v>21</v>
      </c>
      <c r="Q72" s="23">
        <f t="shared" si="10"/>
        <v>21</v>
      </c>
      <c r="R72" s="23">
        <f t="shared" si="11"/>
        <v>7.0000000000000007E-2</v>
      </c>
      <c r="S72" s="23">
        <f t="shared" si="12"/>
        <v>0</v>
      </c>
      <c r="T72" s="23">
        <f t="shared" si="13"/>
        <v>0.23</v>
      </c>
      <c r="U72" s="23">
        <f t="shared" si="14"/>
        <v>12</v>
      </c>
      <c r="V72" s="23">
        <f t="shared" si="15"/>
        <v>0.57999999999999996</v>
      </c>
      <c r="W72" s="23">
        <f t="shared" si="16"/>
        <v>8</v>
      </c>
      <c r="Y72" s="9" t="str">
        <f t="shared" si="18"/>
        <v>no</v>
      </c>
    </row>
    <row r="73" spans="1:25">
      <c r="A73" s="17">
        <v>0.95833333333333337</v>
      </c>
      <c r="B73" t="s">
        <v>40</v>
      </c>
      <c r="C73" s="12">
        <v>19</v>
      </c>
      <c r="D73" s="12">
        <v>19</v>
      </c>
      <c r="E73" s="11">
        <v>0.11</v>
      </c>
      <c r="F73" s="13">
        <v>0</v>
      </c>
      <c r="G73" s="11">
        <v>0.2</v>
      </c>
      <c r="H73" s="12">
        <v>12</v>
      </c>
      <c r="I73" s="11">
        <v>0.65</v>
      </c>
      <c r="J73" s="14">
        <v>8</v>
      </c>
      <c r="K73" s="31" t="s">
        <v>33</v>
      </c>
      <c r="L73" s="15">
        <v>1016.79</v>
      </c>
      <c r="P73" s="23">
        <f t="shared" si="17"/>
        <v>19</v>
      </c>
      <c r="Q73" s="23">
        <f t="shared" si="10"/>
        <v>19</v>
      </c>
      <c r="R73" s="23">
        <f t="shared" si="11"/>
        <v>0.11</v>
      </c>
      <c r="S73" s="23">
        <f t="shared" si="12"/>
        <v>0</v>
      </c>
      <c r="T73" s="23">
        <f t="shared" si="13"/>
        <v>0.2</v>
      </c>
      <c r="U73" s="23">
        <f t="shared" si="14"/>
        <v>12</v>
      </c>
      <c r="V73" s="23">
        <f t="shared" si="15"/>
        <v>0.65</v>
      </c>
      <c r="W73" s="23">
        <f t="shared" si="16"/>
        <v>8</v>
      </c>
      <c r="Y73" s="9" t="str">
        <f t="shared" si="18"/>
        <v>no</v>
      </c>
    </row>
    <row r="74" spans="1:25">
      <c r="A74" s="17">
        <v>0</v>
      </c>
      <c r="B74" t="s">
        <v>39</v>
      </c>
      <c r="C74" s="12">
        <v>18</v>
      </c>
      <c r="D74" s="12">
        <v>18</v>
      </c>
      <c r="E74" s="11">
        <v>0.12</v>
      </c>
      <c r="F74" s="13">
        <v>0</v>
      </c>
      <c r="G74" s="11">
        <v>0.18</v>
      </c>
      <c r="H74" s="12">
        <v>13</v>
      </c>
      <c r="I74" s="11">
        <v>0.7</v>
      </c>
      <c r="J74" s="14">
        <v>7</v>
      </c>
      <c r="K74" s="31" t="s">
        <v>31</v>
      </c>
      <c r="L74" s="15">
        <v>1016.99</v>
      </c>
      <c r="P74" s="23">
        <f t="shared" si="17"/>
        <v>18</v>
      </c>
      <c r="Q74" s="23">
        <f t="shared" si="10"/>
        <v>18</v>
      </c>
      <c r="R74" s="23">
        <f t="shared" si="11"/>
        <v>0.12</v>
      </c>
      <c r="S74" s="23">
        <f t="shared" si="12"/>
        <v>0</v>
      </c>
      <c r="T74" s="23">
        <f t="shared" si="13"/>
        <v>0.18</v>
      </c>
      <c r="U74" s="23">
        <f t="shared" si="14"/>
        <v>13</v>
      </c>
      <c r="V74" s="23">
        <f t="shared" si="15"/>
        <v>0.7</v>
      </c>
      <c r="W74" s="23">
        <f t="shared" si="16"/>
        <v>7</v>
      </c>
      <c r="Y74" s="9" t="str">
        <f t="shared" si="18"/>
        <v>no</v>
      </c>
    </row>
    <row r="75" spans="1:25">
      <c r="A75" s="17">
        <v>4.1666666666666664E-2</v>
      </c>
      <c r="B75" t="s">
        <v>39</v>
      </c>
      <c r="C75" s="12">
        <v>17</v>
      </c>
      <c r="D75" s="12">
        <v>17</v>
      </c>
      <c r="E75" s="11">
        <v>0.14000000000000001</v>
      </c>
      <c r="F75" s="13">
        <v>0</v>
      </c>
      <c r="G75" s="11">
        <v>0.16</v>
      </c>
      <c r="H75" s="12">
        <v>13</v>
      </c>
      <c r="I75" s="11">
        <v>0.74</v>
      </c>
      <c r="J75" s="14">
        <v>7</v>
      </c>
      <c r="K75" s="31" t="s">
        <v>26</v>
      </c>
      <c r="L75" s="15">
        <v>1017.09</v>
      </c>
      <c r="P75" s="23">
        <f t="shared" si="17"/>
        <v>17</v>
      </c>
      <c r="Q75" s="23">
        <f t="shared" si="10"/>
        <v>17</v>
      </c>
      <c r="R75" s="23">
        <f t="shared" si="11"/>
        <v>0.14000000000000001</v>
      </c>
      <c r="S75" s="23">
        <f t="shared" si="12"/>
        <v>0</v>
      </c>
      <c r="T75" s="23">
        <f t="shared" si="13"/>
        <v>0.16</v>
      </c>
      <c r="U75" s="23">
        <f t="shared" si="14"/>
        <v>13</v>
      </c>
      <c r="V75" s="23">
        <f t="shared" si="15"/>
        <v>0.74</v>
      </c>
      <c r="W75" s="23">
        <f t="shared" si="16"/>
        <v>7</v>
      </c>
      <c r="Y75" s="9" t="str">
        <f t="shared" si="18"/>
        <v>no</v>
      </c>
    </row>
    <row r="76" spans="1:25">
      <c r="A76" s="17">
        <v>8.3333333333333329E-2</v>
      </c>
      <c r="B76" t="s">
        <v>39</v>
      </c>
      <c r="C76" s="12">
        <v>16</v>
      </c>
      <c r="D76" s="12">
        <v>16</v>
      </c>
      <c r="E76" s="11">
        <v>0.14000000000000001</v>
      </c>
      <c r="F76" s="13">
        <v>0</v>
      </c>
      <c r="G76" s="11">
        <v>0.13</v>
      </c>
      <c r="H76" s="12">
        <v>13</v>
      </c>
      <c r="I76" s="11">
        <v>0.79</v>
      </c>
      <c r="J76" s="14">
        <v>8</v>
      </c>
      <c r="K76" s="31" t="s">
        <v>29</v>
      </c>
      <c r="L76" s="15">
        <v>1017.01</v>
      </c>
      <c r="P76" s="23">
        <f t="shared" si="17"/>
        <v>16</v>
      </c>
      <c r="Q76" s="23">
        <f t="shared" si="10"/>
        <v>16</v>
      </c>
      <c r="R76" s="23">
        <f t="shared" si="11"/>
        <v>0.14000000000000001</v>
      </c>
      <c r="S76" s="23">
        <f t="shared" si="12"/>
        <v>0</v>
      </c>
      <c r="T76" s="23">
        <f t="shared" si="13"/>
        <v>0.13</v>
      </c>
      <c r="U76" s="23">
        <f t="shared" si="14"/>
        <v>13</v>
      </c>
      <c r="V76" s="23">
        <f t="shared" si="15"/>
        <v>0.79</v>
      </c>
      <c r="W76" s="23">
        <f t="shared" si="16"/>
        <v>8</v>
      </c>
      <c r="Y76" s="9" t="str">
        <f t="shared" si="18"/>
        <v>no</v>
      </c>
    </row>
    <row r="77" spans="1:25">
      <c r="A77" s="17">
        <v>0.125</v>
      </c>
      <c r="B77" t="s">
        <v>39</v>
      </c>
      <c r="C77" s="12">
        <v>16</v>
      </c>
      <c r="D77" s="12">
        <v>16</v>
      </c>
      <c r="E77" s="11">
        <v>0.16</v>
      </c>
      <c r="F77" s="13">
        <v>0</v>
      </c>
      <c r="G77" s="11">
        <v>0.11</v>
      </c>
      <c r="H77" s="12">
        <v>13</v>
      </c>
      <c r="I77" s="11">
        <v>0.81</v>
      </c>
      <c r="J77" s="14">
        <v>8</v>
      </c>
      <c r="K77" s="31" t="s">
        <v>28</v>
      </c>
      <c r="L77" s="15">
        <v>1017.01</v>
      </c>
      <c r="P77" s="23">
        <f t="shared" si="17"/>
        <v>16</v>
      </c>
      <c r="Q77" s="23">
        <f t="shared" si="10"/>
        <v>16</v>
      </c>
      <c r="R77" s="23">
        <f t="shared" si="11"/>
        <v>0.16</v>
      </c>
      <c r="S77" s="23">
        <f t="shared" si="12"/>
        <v>0</v>
      </c>
      <c r="T77" s="23">
        <f t="shared" si="13"/>
        <v>0.11</v>
      </c>
      <c r="U77" s="23">
        <f t="shared" si="14"/>
        <v>13</v>
      </c>
      <c r="V77" s="23">
        <f t="shared" si="15"/>
        <v>0.81</v>
      </c>
      <c r="W77" s="23">
        <f t="shared" si="16"/>
        <v>8</v>
      </c>
      <c r="Y77" s="9" t="str">
        <f t="shared" si="18"/>
        <v>no</v>
      </c>
    </row>
    <row r="78" spans="1:25">
      <c r="A78" s="17">
        <v>0.16666666666666666</v>
      </c>
      <c r="B78" t="s">
        <v>39</v>
      </c>
      <c r="C78" s="12">
        <v>15</v>
      </c>
      <c r="D78" s="12">
        <v>15</v>
      </c>
      <c r="E78" s="11">
        <v>0.18</v>
      </c>
      <c r="F78" s="13">
        <v>0</v>
      </c>
      <c r="G78" s="11">
        <v>0.11</v>
      </c>
      <c r="H78" s="12">
        <v>12</v>
      </c>
      <c r="I78" s="11">
        <v>0.84</v>
      </c>
      <c r="J78" s="14">
        <v>6</v>
      </c>
      <c r="K78" s="31" t="s">
        <v>30</v>
      </c>
      <c r="L78" s="15">
        <v>1017.01</v>
      </c>
      <c r="P78" s="23">
        <f t="shared" si="17"/>
        <v>15</v>
      </c>
      <c r="Q78" s="23">
        <f t="shared" si="10"/>
        <v>15</v>
      </c>
      <c r="R78" s="23">
        <f t="shared" si="11"/>
        <v>0.18</v>
      </c>
      <c r="S78" s="23">
        <f t="shared" si="12"/>
        <v>0</v>
      </c>
      <c r="T78" s="23">
        <f t="shared" si="13"/>
        <v>0.11</v>
      </c>
      <c r="U78" s="23">
        <f t="shared" si="14"/>
        <v>12</v>
      </c>
      <c r="V78" s="23">
        <f t="shared" si="15"/>
        <v>0.84</v>
      </c>
      <c r="W78" s="23">
        <f t="shared" si="16"/>
        <v>6</v>
      </c>
      <c r="Y78" s="9" t="str">
        <f t="shared" si="18"/>
        <v>no</v>
      </c>
    </row>
    <row r="79" spans="1:25">
      <c r="A79" s="17">
        <v>0.20833333333333334</v>
      </c>
      <c r="B79" t="s">
        <v>39</v>
      </c>
      <c r="C79" s="12">
        <v>14</v>
      </c>
      <c r="D79" s="12">
        <v>14</v>
      </c>
      <c r="E79" s="11">
        <v>0.19</v>
      </c>
      <c r="F79" s="13">
        <v>0</v>
      </c>
      <c r="G79" s="11">
        <v>0.11</v>
      </c>
      <c r="H79" s="12">
        <v>12</v>
      </c>
      <c r="I79" s="11">
        <v>0.87</v>
      </c>
      <c r="J79" s="14">
        <v>6</v>
      </c>
      <c r="K79" s="31" t="s">
        <v>29</v>
      </c>
      <c r="L79" s="15">
        <v>1017.01</v>
      </c>
      <c r="P79" s="23">
        <f t="shared" si="17"/>
        <v>14</v>
      </c>
      <c r="Q79" s="23">
        <f t="shared" si="10"/>
        <v>14</v>
      </c>
      <c r="R79" s="23">
        <f t="shared" si="11"/>
        <v>0.19</v>
      </c>
      <c r="S79" s="23">
        <f t="shared" si="12"/>
        <v>0</v>
      </c>
      <c r="T79" s="23">
        <f t="shared" si="13"/>
        <v>0.11</v>
      </c>
      <c r="U79" s="23">
        <f t="shared" si="14"/>
        <v>12</v>
      </c>
      <c r="V79" s="23">
        <f t="shared" si="15"/>
        <v>0.87</v>
      </c>
      <c r="W79" s="23">
        <f t="shared" si="16"/>
        <v>6</v>
      </c>
      <c r="Y79" s="9" t="str">
        <f t="shared" si="18"/>
        <v>no</v>
      </c>
    </row>
    <row r="80" spans="1:25">
      <c r="A80" s="17">
        <v>0.25</v>
      </c>
      <c r="B80" t="s">
        <v>39</v>
      </c>
      <c r="C80" s="12">
        <v>14</v>
      </c>
      <c r="D80" s="12">
        <v>14</v>
      </c>
      <c r="E80" s="11">
        <v>0.18</v>
      </c>
      <c r="F80" s="13">
        <v>0</v>
      </c>
      <c r="G80" s="11">
        <v>0.12</v>
      </c>
      <c r="H80" s="12">
        <v>12</v>
      </c>
      <c r="I80" s="11">
        <v>0.9</v>
      </c>
      <c r="J80" s="14">
        <v>6</v>
      </c>
      <c r="K80" s="31" t="s">
        <v>46</v>
      </c>
      <c r="L80" s="15">
        <v>1017.09</v>
      </c>
      <c r="P80" s="23">
        <f t="shared" si="17"/>
        <v>14</v>
      </c>
      <c r="Q80" s="23">
        <f t="shared" si="10"/>
        <v>14</v>
      </c>
      <c r="R80" s="23">
        <f t="shared" si="11"/>
        <v>0.18</v>
      </c>
      <c r="S80" s="23">
        <f t="shared" si="12"/>
        <v>0</v>
      </c>
      <c r="T80" s="23">
        <f t="shared" si="13"/>
        <v>0.12</v>
      </c>
      <c r="U80" s="23">
        <f t="shared" si="14"/>
        <v>12</v>
      </c>
      <c r="V80" s="23">
        <f t="shared" si="15"/>
        <v>0.9</v>
      </c>
      <c r="W80" s="23">
        <f t="shared" si="16"/>
        <v>6</v>
      </c>
      <c r="Y80" s="9" t="str">
        <f t="shared" si="18"/>
        <v>no</v>
      </c>
    </row>
    <row r="81" spans="1:25">
      <c r="A81" s="17">
        <v>0.29166666666666669</v>
      </c>
      <c r="B81" t="s">
        <v>38</v>
      </c>
      <c r="C81" s="12">
        <v>15</v>
      </c>
      <c r="D81" s="12">
        <v>15</v>
      </c>
      <c r="E81" s="11">
        <v>0.16</v>
      </c>
      <c r="F81" s="13">
        <v>0</v>
      </c>
      <c r="G81" s="11">
        <v>0.12</v>
      </c>
      <c r="H81" s="12">
        <v>12</v>
      </c>
      <c r="I81" s="11">
        <v>0.85</v>
      </c>
      <c r="J81" s="14">
        <v>6</v>
      </c>
      <c r="K81" s="31" t="s">
        <v>46</v>
      </c>
      <c r="L81" s="15">
        <v>1017.09</v>
      </c>
      <c r="P81" s="23">
        <f t="shared" si="17"/>
        <v>15</v>
      </c>
      <c r="Q81" s="23">
        <f t="shared" si="10"/>
        <v>15</v>
      </c>
      <c r="R81" s="23">
        <f t="shared" si="11"/>
        <v>0.16</v>
      </c>
      <c r="S81" s="23">
        <f t="shared" si="12"/>
        <v>0</v>
      </c>
      <c r="T81" s="23">
        <f t="shared" si="13"/>
        <v>0.12</v>
      </c>
      <c r="U81" s="23">
        <f t="shared" si="14"/>
        <v>12</v>
      </c>
      <c r="V81" s="23">
        <f t="shared" si="15"/>
        <v>0.85</v>
      </c>
      <c r="W81" s="23">
        <f t="shared" si="16"/>
        <v>6</v>
      </c>
      <c r="Y81" s="9" t="str">
        <f t="shared" si="18"/>
        <v>no</v>
      </c>
    </row>
    <row r="82" spans="1:25">
      <c r="A82" s="17">
        <v>0.33333333333333331</v>
      </c>
      <c r="B82" t="s">
        <v>38</v>
      </c>
      <c r="C82" s="12">
        <v>17</v>
      </c>
      <c r="D82" s="12">
        <v>17</v>
      </c>
      <c r="E82" s="11">
        <v>0.12</v>
      </c>
      <c r="F82" s="13">
        <v>0</v>
      </c>
      <c r="G82" s="11">
        <v>0.12</v>
      </c>
      <c r="H82" s="12">
        <v>13</v>
      </c>
      <c r="I82" s="11">
        <v>0.78</v>
      </c>
      <c r="J82" s="14">
        <v>6</v>
      </c>
      <c r="K82" s="31" t="s">
        <v>43</v>
      </c>
      <c r="L82" s="15">
        <v>1017.01</v>
      </c>
      <c r="P82" s="23">
        <f t="shared" si="17"/>
        <v>17</v>
      </c>
      <c r="Q82" s="23">
        <f t="shared" si="10"/>
        <v>17</v>
      </c>
      <c r="R82" s="23">
        <f t="shared" si="11"/>
        <v>0.12</v>
      </c>
      <c r="S82" s="23">
        <f t="shared" si="12"/>
        <v>0</v>
      </c>
      <c r="T82" s="23">
        <f t="shared" si="13"/>
        <v>0.12</v>
      </c>
      <c r="U82" s="23">
        <f t="shared" si="14"/>
        <v>13</v>
      </c>
      <c r="V82" s="23">
        <f t="shared" si="15"/>
        <v>0.78</v>
      </c>
      <c r="W82" s="23">
        <f t="shared" si="16"/>
        <v>6</v>
      </c>
      <c r="Y82" s="9" t="str">
        <f t="shared" si="18"/>
        <v>no</v>
      </c>
    </row>
    <row r="83" spans="1:25">
      <c r="A83" s="17">
        <v>0.375</v>
      </c>
      <c r="B83" t="s">
        <v>38</v>
      </c>
      <c r="C83" s="12">
        <v>19</v>
      </c>
      <c r="D83" s="12">
        <v>19</v>
      </c>
      <c r="E83" s="11">
        <v>0.21</v>
      </c>
      <c r="F83" s="13">
        <v>0</v>
      </c>
      <c r="G83" s="11">
        <v>0.14000000000000001</v>
      </c>
      <c r="H83" s="12">
        <v>13</v>
      </c>
      <c r="I83" s="11">
        <v>0.68</v>
      </c>
      <c r="J83" s="14">
        <v>7</v>
      </c>
      <c r="K83" s="31" t="s">
        <v>41</v>
      </c>
      <c r="L83" s="15">
        <v>1016.99</v>
      </c>
      <c r="P83" s="23">
        <f t="shared" si="17"/>
        <v>19</v>
      </c>
      <c r="Q83" s="23">
        <f t="shared" si="10"/>
        <v>19</v>
      </c>
      <c r="R83" s="23">
        <f t="shared" si="11"/>
        <v>0.21</v>
      </c>
      <c r="S83" s="23">
        <f t="shared" si="12"/>
        <v>0</v>
      </c>
      <c r="T83" s="23">
        <f t="shared" si="13"/>
        <v>0.14000000000000001</v>
      </c>
      <c r="U83" s="23">
        <f t="shared" si="14"/>
        <v>13</v>
      </c>
      <c r="V83" s="23">
        <f t="shared" si="15"/>
        <v>0.68</v>
      </c>
      <c r="W83" s="23">
        <f t="shared" si="16"/>
        <v>7</v>
      </c>
      <c r="Y83" s="9" t="str">
        <f t="shared" si="18"/>
        <v>no</v>
      </c>
    </row>
    <row r="84" spans="1:25">
      <c r="A84" s="17">
        <v>0.41666666666666669</v>
      </c>
      <c r="B84" t="s">
        <v>38</v>
      </c>
      <c r="C84" s="12">
        <v>21</v>
      </c>
      <c r="D84" s="12">
        <v>21</v>
      </c>
      <c r="E84" s="11">
        <v>0.19</v>
      </c>
      <c r="F84" s="13">
        <v>0</v>
      </c>
      <c r="G84" s="11">
        <v>0.17</v>
      </c>
      <c r="H84" s="12">
        <v>13</v>
      </c>
      <c r="I84" s="11">
        <v>0.59</v>
      </c>
      <c r="J84" s="14">
        <v>8</v>
      </c>
      <c r="K84" s="31" t="s">
        <v>33</v>
      </c>
      <c r="L84" s="15">
        <v>1016.7</v>
      </c>
      <c r="P84" s="23">
        <f t="shared" si="17"/>
        <v>21</v>
      </c>
      <c r="Q84" s="23">
        <f t="shared" si="10"/>
        <v>21</v>
      </c>
      <c r="R84" s="23">
        <f t="shared" si="11"/>
        <v>0.19</v>
      </c>
      <c r="S84" s="23">
        <f t="shared" si="12"/>
        <v>0</v>
      </c>
      <c r="T84" s="23">
        <f t="shared" si="13"/>
        <v>0.17</v>
      </c>
      <c r="U84" s="23">
        <f t="shared" si="14"/>
        <v>13</v>
      </c>
      <c r="V84" s="23">
        <f t="shared" si="15"/>
        <v>0.59</v>
      </c>
      <c r="W84" s="23">
        <f t="shared" si="16"/>
        <v>8</v>
      </c>
      <c r="Y84" s="9" t="str">
        <f t="shared" si="18"/>
        <v>no</v>
      </c>
    </row>
    <row r="85" spans="1:25">
      <c r="A85" s="17">
        <v>0.45833333333333331</v>
      </c>
      <c r="B85" t="s">
        <v>37</v>
      </c>
      <c r="C85" s="12">
        <v>23</v>
      </c>
      <c r="D85" s="12">
        <v>23</v>
      </c>
      <c r="E85" s="11">
        <v>0.16</v>
      </c>
      <c r="F85" s="13">
        <v>0</v>
      </c>
      <c r="G85" s="11">
        <v>0.21</v>
      </c>
      <c r="H85" s="12">
        <v>13</v>
      </c>
      <c r="I85" s="11">
        <v>0.52</v>
      </c>
      <c r="J85" s="14">
        <v>8</v>
      </c>
      <c r="K85" s="31" t="s">
        <v>33</v>
      </c>
      <c r="L85" s="15">
        <v>1016.31</v>
      </c>
      <c r="P85" s="23">
        <f t="shared" si="17"/>
        <v>23</v>
      </c>
      <c r="Q85" s="23">
        <f t="shared" si="10"/>
        <v>23</v>
      </c>
      <c r="R85" s="23">
        <f t="shared" si="11"/>
        <v>0.16</v>
      </c>
      <c r="S85" s="23">
        <f t="shared" si="12"/>
        <v>0</v>
      </c>
      <c r="T85" s="23">
        <f t="shared" si="13"/>
        <v>0.21</v>
      </c>
      <c r="U85" s="23">
        <f t="shared" si="14"/>
        <v>13</v>
      </c>
      <c r="V85" s="23">
        <f t="shared" si="15"/>
        <v>0.52</v>
      </c>
      <c r="W85" s="23">
        <f t="shared" si="16"/>
        <v>8</v>
      </c>
      <c r="Y85" s="9" t="str">
        <f t="shared" si="18"/>
        <v>no</v>
      </c>
    </row>
    <row r="86" spans="1:25">
      <c r="A86" s="17">
        <v>0.5</v>
      </c>
      <c r="B86" t="s">
        <v>37</v>
      </c>
      <c r="C86" s="12">
        <v>25</v>
      </c>
      <c r="D86" s="12">
        <v>25</v>
      </c>
      <c r="E86" s="11">
        <v>0.12</v>
      </c>
      <c r="F86" s="13">
        <v>0</v>
      </c>
      <c r="G86" s="11">
        <v>0.27</v>
      </c>
      <c r="H86" s="12">
        <v>12</v>
      </c>
      <c r="I86" s="11">
        <v>0.46</v>
      </c>
      <c r="J86" s="14">
        <v>10</v>
      </c>
      <c r="K86" s="31" t="s">
        <v>26</v>
      </c>
      <c r="L86" s="15">
        <v>1015.89</v>
      </c>
      <c r="P86" s="23">
        <f t="shared" si="17"/>
        <v>25</v>
      </c>
      <c r="Q86" s="23">
        <f t="shared" si="10"/>
        <v>25</v>
      </c>
      <c r="R86" s="23">
        <f t="shared" si="11"/>
        <v>0.12</v>
      </c>
      <c r="S86" s="23">
        <f t="shared" si="12"/>
        <v>0</v>
      </c>
      <c r="T86" s="23">
        <f t="shared" si="13"/>
        <v>0.27</v>
      </c>
      <c r="U86" s="23">
        <f t="shared" si="14"/>
        <v>12</v>
      </c>
      <c r="V86" s="23">
        <f t="shared" si="15"/>
        <v>0.46</v>
      </c>
      <c r="W86" s="23">
        <f t="shared" si="16"/>
        <v>10</v>
      </c>
      <c r="Y86" s="9" t="str">
        <f t="shared" si="18"/>
        <v>no</v>
      </c>
    </row>
    <row r="87" spans="1:25">
      <c r="A87" s="17">
        <v>0.54166666666666663</v>
      </c>
      <c r="B87" t="s">
        <v>35</v>
      </c>
      <c r="C87" s="12">
        <v>26</v>
      </c>
      <c r="D87" s="12">
        <v>26</v>
      </c>
      <c r="E87" s="11">
        <v>0.11</v>
      </c>
      <c r="F87" s="13">
        <v>0</v>
      </c>
      <c r="G87" s="11">
        <v>0.33</v>
      </c>
      <c r="H87" s="12">
        <v>11</v>
      </c>
      <c r="I87" s="11">
        <v>0.41</v>
      </c>
      <c r="J87" s="14">
        <v>11</v>
      </c>
      <c r="K87" s="31" t="s">
        <v>32</v>
      </c>
      <c r="L87" s="15">
        <v>1015.4</v>
      </c>
      <c r="P87" s="23">
        <f t="shared" si="17"/>
        <v>26</v>
      </c>
      <c r="Q87" s="23">
        <f t="shared" si="10"/>
        <v>26</v>
      </c>
      <c r="R87" s="23">
        <f t="shared" si="11"/>
        <v>0.11</v>
      </c>
      <c r="S87" s="23">
        <f t="shared" si="12"/>
        <v>0</v>
      </c>
      <c r="T87" s="23">
        <f t="shared" si="13"/>
        <v>0.33</v>
      </c>
      <c r="U87" s="23">
        <f t="shared" si="14"/>
        <v>11</v>
      </c>
      <c r="V87" s="23">
        <f t="shared" si="15"/>
        <v>0.41</v>
      </c>
      <c r="W87" s="23">
        <f t="shared" si="16"/>
        <v>11</v>
      </c>
      <c r="Y87" s="9" t="str">
        <f t="shared" si="18"/>
        <v>no</v>
      </c>
    </row>
    <row r="88" spans="1:25">
      <c r="A88" s="17">
        <v>0.58333333333333337</v>
      </c>
      <c r="B88" t="s">
        <v>35</v>
      </c>
      <c r="C88" s="12">
        <v>27</v>
      </c>
      <c r="D88" s="12">
        <v>27</v>
      </c>
      <c r="E88" s="11">
        <v>0.11</v>
      </c>
      <c r="F88" s="13">
        <v>0</v>
      </c>
      <c r="G88" s="11">
        <v>0.41</v>
      </c>
      <c r="H88" s="12">
        <v>11</v>
      </c>
      <c r="I88" s="11">
        <v>0.37</v>
      </c>
      <c r="J88" s="14">
        <v>12</v>
      </c>
      <c r="K88" s="31" t="s">
        <v>31</v>
      </c>
      <c r="L88" s="15">
        <v>1014.89</v>
      </c>
      <c r="P88" s="23">
        <f t="shared" si="17"/>
        <v>27</v>
      </c>
      <c r="Q88" s="23">
        <f t="shared" si="10"/>
        <v>27</v>
      </c>
      <c r="R88" s="23">
        <f t="shared" si="11"/>
        <v>0.11</v>
      </c>
      <c r="S88" s="23">
        <f t="shared" si="12"/>
        <v>0</v>
      </c>
      <c r="T88" s="23">
        <f t="shared" si="13"/>
        <v>0.41</v>
      </c>
      <c r="U88" s="23">
        <f t="shared" si="14"/>
        <v>11</v>
      </c>
      <c r="V88" s="23">
        <f t="shared" si="15"/>
        <v>0.37</v>
      </c>
      <c r="W88" s="23">
        <f t="shared" si="16"/>
        <v>12</v>
      </c>
      <c r="Y88" s="9" t="str">
        <f t="shared" si="18"/>
        <v>no</v>
      </c>
    </row>
    <row r="89" spans="1:25">
      <c r="A89" s="17">
        <v>0.625</v>
      </c>
      <c r="B89" t="s">
        <v>35</v>
      </c>
      <c r="C89" s="12">
        <v>27</v>
      </c>
      <c r="D89" s="12">
        <v>27</v>
      </c>
      <c r="E89" s="11">
        <v>0.09</v>
      </c>
      <c r="F89" s="13">
        <v>0</v>
      </c>
      <c r="G89" s="11">
        <v>0.47</v>
      </c>
      <c r="H89" s="12">
        <v>10</v>
      </c>
      <c r="I89" s="11">
        <v>0.36</v>
      </c>
      <c r="J89" s="14">
        <v>12</v>
      </c>
      <c r="K89" s="31" t="s">
        <v>31</v>
      </c>
      <c r="L89" s="15">
        <v>1014.41</v>
      </c>
      <c r="P89" s="23">
        <f t="shared" si="17"/>
        <v>27</v>
      </c>
      <c r="Q89" s="23">
        <f t="shared" si="10"/>
        <v>27</v>
      </c>
      <c r="R89" s="23">
        <f t="shared" si="11"/>
        <v>0.09</v>
      </c>
      <c r="S89" s="23">
        <f t="shared" si="12"/>
        <v>0</v>
      </c>
      <c r="T89" s="23">
        <f t="shared" si="13"/>
        <v>0.47</v>
      </c>
      <c r="U89" s="23">
        <f t="shared" si="14"/>
        <v>10</v>
      </c>
      <c r="V89" s="23">
        <f t="shared" si="15"/>
        <v>0.36</v>
      </c>
      <c r="W89" s="23">
        <f t="shared" si="16"/>
        <v>12</v>
      </c>
      <c r="Y89" s="9" t="str">
        <f t="shared" si="18"/>
        <v>no</v>
      </c>
    </row>
    <row r="90" spans="1:25">
      <c r="A90" s="17">
        <v>0.66666666666666663</v>
      </c>
      <c r="B90" t="s">
        <v>35</v>
      </c>
      <c r="C90" s="12">
        <v>27</v>
      </c>
      <c r="D90" s="12">
        <v>27</v>
      </c>
      <c r="E90" s="11">
        <v>7.0000000000000007E-2</v>
      </c>
      <c r="F90" s="13">
        <v>0</v>
      </c>
      <c r="G90" s="11">
        <v>0.51</v>
      </c>
      <c r="H90" s="12">
        <v>11</v>
      </c>
      <c r="I90" s="11">
        <v>0.36</v>
      </c>
      <c r="J90" s="14">
        <v>13</v>
      </c>
      <c r="K90" s="31" t="s">
        <v>32</v>
      </c>
      <c r="L90" s="15">
        <v>1014.29</v>
      </c>
      <c r="P90" s="23">
        <f t="shared" si="17"/>
        <v>27</v>
      </c>
      <c r="Q90" s="23">
        <f t="shared" si="10"/>
        <v>27</v>
      </c>
      <c r="R90" s="23">
        <f t="shared" si="11"/>
        <v>7.0000000000000007E-2</v>
      </c>
      <c r="S90" s="23">
        <f t="shared" si="12"/>
        <v>0</v>
      </c>
      <c r="T90" s="23">
        <f t="shared" si="13"/>
        <v>0.51</v>
      </c>
      <c r="U90" s="23">
        <f t="shared" si="14"/>
        <v>11</v>
      </c>
      <c r="V90" s="23">
        <f t="shared" si="15"/>
        <v>0.36</v>
      </c>
      <c r="W90" s="23">
        <f t="shared" si="16"/>
        <v>13</v>
      </c>
      <c r="Y90" s="9" t="str">
        <f t="shared" si="18"/>
        <v>no</v>
      </c>
    </row>
    <row r="91" spans="1:25">
      <c r="A91" s="17">
        <v>0.70833333333333337</v>
      </c>
      <c r="B91" t="s">
        <v>35</v>
      </c>
      <c r="C91" s="12">
        <v>27</v>
      </c>
      <c r="D91" s="12">
        <v>27</v>
      </c>
      <c r="E91" s="11">
        <v>7.0000000000000007E-2</v>
      </c>
      <c r="F91" s="13">
        <v>0</v>
      </c>
      <c r="G91" s="11">
        <v>0.51</v>
      </c>
      <c r="H91" s="12">
        <v>11</v>
      </c>
      <c r="I91" s="11">
        <v>0.36</v>
      </c>
      <c r="J91" s="14">
        <v>15</v>
      </c>
      <c r="K91" s="31" t="s">
        <v>32</v>
      </c>
      <c r="L91" s="15">
        <v>1014.09</v>
      </c>
      <c r="P91" s="23">
        <f t="shared" si="17"/>
        <v>27</v>
      </c>
      <c r="Q91" s="23">
        <f t="shared" si="10"/>
        <v>27</v>
      </c>
      <c r="R91" s="23">
        <f t="shared" si="11"/>
        <v>7.0000000000000007E-2</v>
      </c>
      <c r="S91" s="23">
        <f t="shared" si="12"/>
        <v>0</v>
      </c>
      <c r="T91" s="23">
        <f t="shared" si="13"/>
        <v>0.51</v>
      </c>
      <c r="U91" s="23">
        <f t="shared" si="14"/>
        <v>11</v>
      </c>
      <c r="V91" s="23">
        <f t="shared" si="15"/>
        <v>0.36</v>
      </c>
      <c r="W91" s="23">
        <f t="shared" si="16"/>
        <v>15</v>
      </c>
      <c r="Y91" s="9" t="str">
        <f t="shared" si="18"/>
        <v>no</v>
      </c>
    </row>
    <row r="92" spans="1:25">
      <c r="A92" s="17">
        <v>0.75</v>
      </c>
      <c r="B92" t="s">
        <v>35</v>
      </c>
      <c r="C92" s="12">
        <v>27</v>
      </c>
      <c r="D92" s="12">
        <v>27</v>
      </c>
      <c r="E92" s="11">
        <v>0</v>
      </c>
      <c r="F92" s="13">
        <v>0</v>
      </c>
      <c r="G92" s="11">
        <v>0.48</v>
      </c>
      <c r="H92" s="12">
        <v>11</v>
      </c>
      <c r="I92" s="11">
        <v>0.37</v>
      </c>
      <c r="J92" s="14">
        <v>17</v>
      </c>
      <c r="K92" s="31" t="s">
        <v>32</v>
      </c>
      <c r="L92" s="15">
        <v>1014.1</v>
      </c>
      <c r="P92" s="23">
        <f t="shared" si="17"/>
        <v>27</v>
      </c>
      <c r="Q92" s="23">
        <f t="shared" si="10"/>
        <v>27</v>
      </c>
      <c r="R92" s="23">
        <f t="shared" si="11"/>
        <v>0</v>
      </c>
      <c r="S92" s="23">
        <f t="shared" si="12"/>
        <v>0</v>
      </c>
      <c r="T92" s="23">
        <f t="shared" si="13"/>
        <v>0.48</v>
      </c>
      <c r="U92" s="23">
        <f t="shared" si="14"/>
        <v>11</v>
      </c>
      <c r="V92" s="23">
        <f t="shared" si="15"/>
        <v>0.37</v>
      </c>
      <c r="W92" s="23">
        <f t="shared" si="16"/>
        <v>17</v>
      </c>
      <c r="Y92" s="9" t="str">
        <f t="shared" si="18"/>
        <v>no</v>
      </c>
    </row>
    <row r="93" spans="1:25">
      <c r="A93" s="17">
        <v>0.79166666666666663</v>
      </c>
      <c r="B93" t="s">
        <v>35</v>
      </c>
      <c r="C93" s="12">
        <v>26</v>
      </c>
      <c r="D93" s="12">
        <v>26</v>
      </c>
      <c r="E93" s="11">
        <v>0</v>
      </c>
      <c r="F93" s="13">
        <v>0</v>
      </c>
      <c r="G93" s="11">
        <v>0.45</v>
      </c>
      <c r="H93" s="12">
        <v>11</v>
      </c>
      <c r="I93" s="11">
        <v>0.41</v>
      </c>
      <c r="J93" s="14">
        <v>16</v>
      </c>
      <c r="K93" s="31" t="s">
        <v>32</v>
      </c>
      <c r="L93" s="15">
        <v>1014.3</v>
      </c>
      <c r="P93" s="23">
        <f t="shared" si="17"/>
        <v>26</v>
      </c>
      <c r="Q93" s="23">
        <f t="shared" si="10"/>
        <v>26</v>
      </c>
      <c r="R93" s="23">
        <f t="shared" si="11"/>
        <v>0</v>
      </c>
      <c r="S93" s="23">
        <f t="shared" si="12"/>
        <v>0</v>
      </c>
      <c r="T93" s="23">
        <f t="shared" si="13"/>
        <v>0.45</v>
      </c>
      <c r="U93" s="23">
        <f t="shared" si="14"/>
        <v>11</v>
      </c>
      <c r="V93" s="23">
        <f t="shared" si="15"/>
        <v>0.41</v>
      </c>
      <c r="W93" s="23">
        <f t="shared" si="16"/>
        <v>16</v>
      </c>
      <c r="Y93" s="9" t="str">
        <f t="shared" si="18"/>
        <v>no</v>
      </c>
    </row>
    <row r="94" spans="1:25">
      <c r="A94" s="17">
        <v>0.83333333333333337</v>
      </c>
      <c r="B94" t="s">
        <v>35</v>
      </c>
      <c r="C94" s="12">
        <v>24</v>
      </c>
      <c r="D94" s="12">
        <v>24</v>
      </c>
      <c r="E94" s="11">
        <v>0</v>
      </c>
      <c r="F94" s="13">
        <v>0</v>
      </c>
      <c r="G94" s="11">
        <v>0.35</v>
      </c>
      <c r="H94" s="12">
        <v>12</v>
      </c>
      <c r="I94" s="11">
        <v>0.45</v>
      </c>
      <c r="J94" s="14">
        <v>13</v>
      </c>
      <c r="K94" s="31" t="s">
        <v>26</v>
      </c>
      <c r="L94" s="15">
        <v>1014.61</v>
      </c>
      <c r="P94" s="23">
        <f t="shared" si="17"/>
        <v>24</v>
      </c>
      <c r="Q94" s="23">
        <f t="shared" si="10"/>
        <v>24</v>
      </c>
      <c r="R94" s="23">
        <f t="shared" si="11"/>
        <v>0</v>
      </c>
      <c r="S94" s="23">
        <f t="shared" si="12"/>
        <v>0</v>
      </c>
      <c r="T94" s="23">
        <f t="shared" si="13"/>
        <v>0.35</v>
      </c>
      <c r="U94" s="23">
        <f t="shared" si="14"/>
        <v>12</v>
      </c>
      <c r="V94" s="23">
        <f t="shared" si="15"/>
        <v>0.45</v>
      </c>
      <c r="W94" s="23">
        <f t="shared" si="16"/>
        <v>13</v>
      </c>
      <c r="Y94" s="9" t="str">
        <f t="shared" si="18"/>
        <v>no</v>
      </c>
    </row>
    <row r="95" spans="1:25">
      <c r="A95" s="17">
        <v>0.875</v>
      </c>
      <c r="B95" t="s">
        <v>40</v>
      </c>
      <c r="C95" s="12">
        <v>22</v>
      </c>
      <c r="D95" s="12">
        <v>22</v>
      </c>
      <c r="E95" s="11">
        <v>0.02</v>
      </c>
      <c r="F95" s="13">
        <v>0</v>
      </c>
      <c r="G95" s="11">
        <v>0.27</v>
      </c>
      <c r="H95" s="12">
        <v>12</v>
      </c>
      <c r="I95" s="11">
        <v>0.52</v>
      </c>
      <c r="J95" s="14">
        <v>10</v>
      </c>
      <c r="K95" s="31" t="s">
        <v>26</v>
      </c>
      <c r="L95" s="15">
        <v>1015</v>
      </c>
      <c r="P95" s="23">
        <f t="shared" si="17"/>
        <v>22</v>
      </c>
      <c r="Q95" s="23">
        <f t="shared" si="10"/>
        <v>22</v>
      </c>
      <c r="R95" s="23">
        <f t="shared" si="11"/>
        <v>0.02</v>
      </c>
      <c r="S95" s="23">
        <f t="shared" si="12"/>
        <v>0</v>
      </c>
      <c r="T95" s="23">
        <f t="shared" si="13"/>
        <v>0.27</v>
      </c>
      <c r="U95" s="23">
        <f t="shared" si="14"/>
        <v>12</v>
      </c>
      <c r="V95" s="23">
        <f t="shared" si="15"/>
        <v>0.52</v>
      </c>
      <c r="W95" s="23">
        <f t="shared" si="16"/>
        <v>10</v>
      </c>
      <c r="Y95" s="9" t="str">
        <f t="shared" si="18"/>
        <v>no</v>
      </c>
    </row>
    <row r="96" spans="1:25">
      <c r="A96" s="17">
        <v>0.91666666666666663</v>
      </c>
      <c r="B96" t="s">
        <v>40</v>
      </c>
      <c r="C96" s="12">
        <v>21</v>
      </c>
      <c r="D96" s="12">
        <v>21</v>
      </c>
      <c r="E96" s="11">
        <v>0.04</v>
      </c>
      <c r="F96" s="13">
        <v>0</v>
      </c>
      <c r="G96" s="11">
        <v>0.23</v>
      </c>
      <c r="H96" s="12">
        <v>12</v>
      </c>
      <c r="I96" s="11">
        <v>0.59</v>
      </c>
      <c r="J96" s="14">
        <v>8</v>
      </c>
      <c r="K96" s="31" t="s">
        <v>29</v>
      </c>
      <c r="L96" s="15">
        <v>1015.59</v>
      </c>
      <c r="P96" s="23">
        <f t="shared" si="17"/>
        <v>21</v>
      </c>
      <c r="Q96" s="23">
        <f t="shared" si="10"/>
        <v>21</v>
      </c>
      <c r="R96" s="23">
        <f t="shared" si="11"/>
        <v>0.04</v>
      </c>
      <c r="S96" s="23">
        <f t="shared" si="12"/>
        <v>0</v>
      </c>
      <c r="T96" s="23">
        <f t="shared" si="13"/>
        <v>0.23</v>
      </c>
      <c r="U96" s="23">
        <f t="shared" si="14"/>
        <v>12</v>
      </c>
      <c r="V96" s="23">
        <f t="shared" si="15"/>
        <v>0.59</v>
      </c>
      <c r="W96" s="23">
        <f t="shared" si="16"/>
        <v>8</v>
      </c>
      <c r="Y96" s="9" t="str">
        <f t="shared" si="18"/>
        <v>no</v>
      </c>
    </row>
    <row r="97" spans="1:25">
      <c r="A97" s="17">
        <v>0.95833333333333337</v>
      </c>
      <c r="B97" t="s">
        <v>40</v>
      </c>
      <c r="C97" s="12">
        <v>19</v>
      </c>
      <c r="D97" s="12">
        <v>19</v>
      </c>
      <c r="E97" s="11">
        <v>0.05</v>
      </c>
      <c r="F97" s="13">
        <v>0</v>
      </c>
      <c r="G97" s="11">
        <v>0.21</v>
      </c>
      <c r="H97" s="12">
        <v>13</v>
      </c>
      <c r="I97" s="11">
        <v>0.65</v>
      </c>
      <c r="J97" s="14">
        <v>8</v>
      </c>
      <c r="K97" s="31" t="s">
        <v>28</v>
      </c>
      <c r="L97" s="15">
        <v>1015.99</v>
      </c>
      <c r="P97" s="23">
        <f t="shared" si="17"/>
        <v>19</v>
      </c>
      <c r="Q97" s="23">
        <f t="shared" si="10"/>
        <v>19</v>
      </c>
      <c r="R97" s="23">
        <f t="shared" si="11"/>
        <v>0.05</v>
      </c>
      <c r="S97" s="23">
        <f t="shared" si="12"/>
        <v>0</v>
      </c>
      <c r="T97" s="23">
        <f t="shared" si="13"/>
        <v>0.21</v>
      </c>
      <c r="U97" s="23">
        <f t="shared" si="14"/>
        <v>13</v>
      </c>
      <c r="V97" s="23">
        <f t="shared" si="15"/>
        <v>0.65</v>
      </c>
      <c r="W97" s="23">
        <f t="shared" si="16"/>
        <v>8</v>
      </c>
      <c r="Y97" s="9" t="str">
        <f t="shared" si="18"/>
        <v>no</v>
      </c>
    </row>
    <row r="98" spans="1:25">
      <c r="A98" s="17">
        <v>0</v>
      </c>
      <c r="B98" t="s">
        <v>39</v>
      </c>
      <c r="C98" s="12">
        <v>18</v>
      </c>
      <c r="D98" s="12">
        <v>18</v>
      </c>
      <c r="E98" s="11">
        <v>7.0000000000000007E-2</v>
      </c>
      <c r="F98" s="13">
        <v>0</v>
      </c>
      <c r="G98" s="11">
        <v>0.19</v>
      </c>
      <c r="H98" s="12">
        <v>13</v>
      </c>
      <c r="I98" s="11">
        <v>0.7</v>
      </c>
      <c r="J98" s="14">
        <v>7</v>
      </c>
      <c r="K98" s="31" t="s">
        <v>28</v>
      </c>
      <c r="L98" s="15">
        <v>1016.29</v>
      </c>
      <c r="P98" s="23">
        <f t="shared" si="17"/>
        <v>18</v>
      </c>
      <c r="Q98" s="23">
        <f t="shared" si="10"/>
        <v>18</v>
      </c>
      <c r="R98" s="23">
        <f t="shared" si="11"/>
        <v>7.0000000000000007E-2</v>
      </c>
      <c r="S98" s="23">
        <f t="shared" si="12"/>
        <v>0</v>
      </c>
      <c r="T98" s="23">
        <f t="shared" si="13"/>
        <v>0.19</v>
      </c>
      <c r="U98" s="23">
        <f t="shared" si="14"/>
        <v>13</v>
      </c>
      <c r="V98" s="23">
        <f t="shared" si="15"/>
        <v>0.7</v>
      </c>
      <c r="W98" s="23">
        <f t="shared" si="16"/>
        <v>7</v>
      </c>
      <c r="Y98" s="9" t="str">
        <f t="shared" si="18"/>
        <v>no</v>
      </c>
    </row>
    <row r="99" spans="1:25">
      <c r="A99" s="17">
        <v>4.1666666666666664E-2</v>
      </c>
      <c r="B99" t="s">
        <v>39</v>
      </c>
      <c r="C99" s="12">
        <v>18</v>
      </c>
      <c r="D99" s="12">
        <v>18</v>
      </c>
      <c r="E99" s="11">
        <v>0.09</v>
      </c>
      <c r="F99" s="13">
        <v>0</v>
      </c>
      <c r="G99" s="11">
        <v>0.16</v>
      </c>
      <c r="H99" s="12">
        <v>13</v>
      </c>
      <c r="I99" s="11">
        <v>0.73</v>
      </c>
      <c r="J99" s="14">
        <v>7</v>
      </c>
      <c r="K99" s="31" t="s">
        <v>28</v>
      </c>
      <c r="L99" s="15">
        <v>1016.39</v>
      </c>
      <c r="P99" s="23">
        <f t="shared" si="17"/>
        <v>18</v>
      </c>
      <c r="Q99" s="23">
        <f t="shared" si="10"/>
        <v>18</v>
      </c>
      <c r="R99" s="23">
        <f t="shared" si="11"/>
        <v>0.09</v>
      </c>
      <c r="S99" s="23">
        <f t="shared" si="12"/>
        <v>0</v>
      </c>
      <c r="T99" s="23">
        <f t="shared" si="13"/>
        <v>0.16</v>
      </c>
      <c r="U99" s="23">
        <f t="shared" si="14"/>
        <v>13</v>
      </c>
      <c r="V99" s="23">
        <f t="shared" si="15"/>
        <v>0.73</v>
      </c>
      <c r="W99" s="23">
        <f t="shared" si="16"/>
        <v>7</v>
      </c>
      <c r="Y99" s="9" t="str">
        <f t="shared" si="18"/>
        <v>no</v>
      </c>
    </row>
    <row r="100" spans="1:25">
      <c r="A100" s="17">
        <v>8.3333333333333329E-2</v>
      </c>
      <c r="B100" t="s">
        <v>39</v>
      </c>
      <c r="C100" s="12">
        <v>17</v>
      </c>
      <c r="D100" s="12">
        <v>17</v>
      </c>
      <c r="E100" s="11">
        <v>0.09</v>
      </c>
      <c r="F100" s="13">
        <v>0</v>
      </c>
      <c r="G100" s="11">
        <v>0.14000000000000001</v>
      </c>
      <c r="H100" s="12">
        <v>13</v>
      </c>
      <c r="I100" s="11">
        <v>0.76</v>
      </c>
      <c r="J100" s="14">
        <v>6</v>
      </c>
      <c r="K100" s="31" t="s">
        <v>28</v>
      </c>
      <c r="L100" s="15">
        <v>1016.4</v>
      </c>
      <c r="P100" s="23">
        <f t="shared" si="17"/>
        <v>17</v>
      </c>
      <c r="Q100" s="23">
        <f t="shared" si="10"/>
        <v>17</v>
      </c>
      <c r="R100" s="23">
        <f t="shared" si="11"/>
        <v>0.09</v>
      </c>
      <c r="S100" s="23">
        <f t="shared" si="12"/>
        <v>0</v>
      </c>
      <c r="T100" s="23">
        <f t="shared" si="13"/>
        <v>0.14000000000000001</v>
      </c>
      <c r="U100" s="23">
        <f t="shared" si="14"/>
        <v>13</v>
      </c>
      <c r="V100" s="23">
        <f t="shared" si="15"/>
        <v>0.76</v>
      </c>
      <c r="W100" s="23">
        <f t="shared" si="16"/>
        <v>6</v>
      </c>
      <c r="Y100" s="9" t="str">
        <f t="shared" si="18"/>
        <v>no</v>
      </c>
    </row>
    <row r="101" spans="1:25">
      <c r="A101" s="17">
        <v>0.125</v>
      </c>
      <c r="B101" t="s">
        <v>39</v>
      </c>
      <c r="C101" s="12">
        <v>16</v>
      </c>
      <c r="D101" s="12">
        <v>16</v>
      </c>
      <c r="E101" s="11">
        <v>0.11</v>
      </c>
      <c r="F101" s="13">
        <v>0</v>
      </c>
      <c r="G101" s="11">
        <v>0.12</v>
      </c>
      <c r="H101" s="12">
        <v>12</v>
      </c>
      <c r="I101" s="11">
        <v>0.79</v>
      </c>
      <c r="J101" s="14">
        <v>6</v>
      </c>
      <c r="K101" s="31" t="s">
        <v>28</v>
      </c>
      <c r="L101" s="15">
        <v>1016.4</v>
      </c>
      <c r="P101" s="23">
        <f t="shared" si="17"/>
        <v>16</v>
      </c>
      <c r="Q101" s="23">
        <f t="shared" si="10"/>
        <v>16</v>
      </c>
      <c r="R101" s="23">
        <f t="shared" si="11"/>
        <v>0.11</v>
      </c>
      <c r="S101" s="23">
        <f t="shared" si="12"/>
        <v>0</v>
      </c>
      <c r="T101" s="23">
        <f t="shared" si="13"/>
        <v>0.12</v>
      </c>
      <c r="U101" s="23">
        <f t="shared" si="14"/>
        <v>12</v>
      </c>
      <c r="V101" s="23">
        <f t="shared" si="15"/>
        <v>0.79</v>
      </c>
      <c r="W101" s="23">
        <f t="shared" si="16"/>
        <v>6</v>
      </c>
      <c r="Y101" s="9" t="str">
        <f t="shared" si="18"/>
        <v>no</v>
      </c>
    </row>
    <row r="102" spans="1:25">
      <c r="A102" s="17">
        <v>0.16666666666666666</v>
      </c>
      <c r="B102" t="s">
        <v>39</v>
      </c>
      <c r="C102" s="12">
        <v>15</v>
      </c>
      <c r="D102" s="12">
        <v>15</v>
      </c>
      <c r="E102" s="11">
        <v>0.11</v>
      </c>
      <c r="F102" s="13">
        <v>0</v>
      </c>
      <c r="G102" s="11">
        <v>0.12</v>
      </c>
      <c r="H102" s="12">
        <v>12</v>
      </c>
      <c r="I102" s="11">
        <v>0.82</v>
      </c>
      <c r="J102" s="14">
        <v>6</v>
      </c>
      <c r="K102" s="31" t="s">
        <v>28</v>
      </c>
      <c r="L102" s="15">
        <v>1016.49</v>
      </c>
      <c r="P102" s="23">
        <f t="shared" si="17"/>
        <v>15</v>
      </c>
      <c r="Q102" s="23">
        <f t="shared" si="10"/>
        <v>15</v>
      </c>
      <c r="R102" s="23">
        <f t="shared" si="11"/>
        <v>0.11</v>
      </c>
      <c r="S102" s="23">
        <f t="shared" si="12"/>
        <v>0</v>
      </c>
      <c r="T102" s="23">
        <f t="shared" si="13"/>
        <v>0.12</v>
      </c>
      <c r="U102" s="23">
        <f t="shared" si="14"/>
        <v>12</v>
      </c>
      <c r="V102" s="23">
        <f t="shared" si="15"/>
        <v>0.82</v>
      </c>
      <c r="W102" s="23">
        <f t="shared" si="16"/>
        <v>6</v>
      </c>
      <c r="Y102" s="9" t="str">
        <f t="shared" si="18"/>
        <v>no</v>
      </c>
    </row>
    <row r="103" spans="1:25">
      <c r="A103" s="17">
        <v>0.20833333333333334</v>
      </c>
      <c r="B103" t="s">
        <v>39</v>
      </c>
      <c r="C103" s="12">
        <v>15</v>
      </c>
      <c r="D103" s="12">
        <v>15</v>
      </c>
      <c r="E103" s="11">
        <v>0.12</v>
      </c>
      <c r="F103" s="13">
        <v>0</v>
      </c>
      <c r="G103" s="11">
        <v>0.12</v>
      </c>
      <c r="H103" s="12">
        <v>12</v>
      </c>
      <c r="I103" s="11">
        <v>0.86</v>
      </c>
      <c r="J103" s="14">
        <v>6</v>
      </c>
      <c r="K103" s="31" t="s">
        <v>28</v>
      </c>
      <c r="L103" s="15">
        <v>1016.49</v>
      </c>
      <c r="P103" s="23">
        <f t="shared" si="17"/>
        <v>15</v>
      </c>
      <c r="Q103" s="23">
        <f t="shared" si="10"/>
        <v>15</v>
      </c>
      <c r="R103" s="23">
        <f t="shared" si="11"/>
        <v>0.12</v>
      </c>
      <c r="S103" s="23">
        <f t="shared" si="12"/>
        <v>0</v>
      </c>
      <c r="T103" s="23">
        <f t="shared" si="13"/>
        <v>0.12</v>
      </c>
      <c r="U103" s="23">
        <f t="shared" si="14"/>
        <v>12</v>
      </c>
      <c r="V103" s="23">
        <f t="shared" si="15"/>
        <v>0.86</v>
      </c>
      <c r="W103" s="23">
        <f t="shared" si="16"/>
        <v>6</v>
      </c>
      <c r="Y103" s="9" t="str">
        <f t="shared" si="18"/>
        <v>no</v>
      </c>
    </row>
    <row r="104" spans="1:25">
      <c r="A104" s="17">
        <v>0.25</v>
      </c>
      <c r="B104" t="s">
        <v>39</v>
      </c>
      <c r="C104" s="12">
        <v>14</v>
      </c>
      <c r="D104" s="12">
        <v>14</v>
      </c>
      <c r="E104" s="11">
        <v>0.12</v>
      </c>
      <c r="F104" s="13">
        <v>0</v>
      </c>
      <c r="G104" s="11">
        <v>0.11</v>
      </c>
      <c r="H104" s="12">
        <v>12</v>
      </c>
      <c r="I104" s="11">
        <v>0.86</v>
      </c>
      <c r="J104" s="14">
        <v>5</v>
      </c>
      <c r="K104" s="31" t="s">
        <v>29</v>
      </c>
      <c r="L104" s="15">
        <v>1016.5</v>
      </c>
      <c r="P104" s="23">
        <f t="shared" si="17"/>
        <v>14</v>
      </c>
      <c r="Q104" s="23">
        <f t="shared" si="10"/>
        <v>14</v>
      </c>
      <c r="R104" s="23">
        <f t="shared" si="11"/>
        <v>0.12</v>
      </c>
      <c r="S104" s="23">
        <f t="shared" si="12"/>
        <v>0</v>
      </c>
      <c r="T104" s="23">
        <f t="shared" si="13"/>
        <v>0.11</v>
      </c>
      <c r="U104" s="23">
        <f t="shared" si="14"/>
        <v>12</v>
      </c>
      <c r="V104" s="23">
        <f t="shared" si="15"/>
        <v>0.86</v>
      </c>
      <c r="W104" s="23">
        <f t="shared" si="16"/>
        <v>5</v>
      </c>
      <c r="Y104" s="9" t="str">
        <f t="shared" si="18"/>
        <v>no</v>
      </c>
    </row>
    <row r="105" spans="1:25">
      <c r="A105" s="17">
        <v>0.29166666666666669</v>
      </c>
      <c r="B105" t="s">
        <v>38</v>
      </c>
      <c r="C105" s="12">
        <v>15</v>
      </c>
      <c r="D105" s="12">
        <v>15</v>
      </c>
      <c r="E105" s="11">
        <v>0.11</v>
      </c>
      <c r="F105" s="13">
        <v>0</v>
      </c>
      <c r="G105" s="11">
        <v>0.11</v>
      </c>
      <c r="H105" s="12">
        <v>12</v>
      </c>
      <c r="I105" s="11">
        <v>0.84</v>
      </c>
      <c r="J105" s="14">
        <v>6</v>
      </c>
      <c r="K105" s="31" t="s">
        <v>29</v>
      </c>
      <c r="L105" s="15">
        <v>1016.59</v>
      </c>
      <c r="P105" s="23">
        <f t="shared" si="17"/>
        <v>15</v>
      </c>
      <c r="Q105" s="23">
        <f t="shared" si="10"/>
        <v>15</v>
      </c>
      <c r="R105" s="23">
        <f t="shared" si="11"/>
        <v>0.11</v>
      </c>
      <c r="S105" s="23">
        <f t="shared" si="12"/>
        <v>0</v>
      </c>
      <c r="T105" s="23">
        <f t="shared" si="13"/>
        <v>0.11</v>
      </c>
      <c r="U105" s="23">
        <f t="shared" si="14"/>
        <v>12</v>
      </c>
      <c r="V105" s="23">
        <f t="shared" si="15"/>
        <v>0.84</v>
      </c>
      <c r="W105" s="23">
        <f t="shared" si="16"/>
        <v>6</v>
      </c>
      <c r="Y105" s="9" t="str">
        <f t="shared" si="18"/>
        <v>no</v>
      </c>
    </row>
    <row r="106" spans="1:25">
      <c r="A106" s="17">
        <v>0.33333333333333331</v>
      </c>
      <c r="B106" t="s">
        <v>38</v>
      </c>
      <c r="C106" s="12">
        <v>17</v>
      </c>
      <c r="D106" s="12">
        <v>17</v>
      </c>
      <c r="E106" s="11">
        <v>7.0000000000000007E-2</v>
      </c>
      <c r="F106" s="13">
        <v>0</v>
      </c>
      <c r="G106" s="11">
        <v>0.19</v>
      </c>
      <c r="H106" s="12">
        <v>13</v>
      </c>
      <c r="I106" s="11">
        <v>0.75</v>
      </c>
      <c r="J106" s="14">
        <v>6</v>
      </c>
      <c r="K106" s="31" t="s">
        <v>28</v>
      </c>
      <c r="L106" s="15">
        <v>1016.6</v>
      </c>
      <c r="P106" s="23">
        <f t="shared" si="17"/>
        <v>17</v>
      </c>
      <c r="Q106" s="23">
        <f t="shared" si="10"/>
        <v>17</v>
      </c>
      <c r="R106" s="23">
        <f t="shared" si="11"/>
        <v>7.0000000000000007E-2</v>
      </c>
      <c r="S106" s="23">
        <f t="shared" si="12"/>
        <v>0</v>
      </c>
      <c r="T106" s="23">
        <f t="shared" si="13"/>
        <v>0.19</v>
      </c>
      <c r="U106" s="23">
        <f t="shared" si="14"/>
        <v>13</v>
      </c>
      <c r="V106" s="23">
        <f t="shared" si="15"/>
        <v>0.75</v>
      </c>
      <c r="W106" s="23">
        <f t="shared" si="16"/>
        <v>6</v>
      </c>
      <c r="Y106" s="9" t="str">
        <f t="shared" si="18"/>
        <v>no</v>
      </c>
    </row>
    <row r="107" spans="1:25">
      <c r="A107" s="17">
        <v>0.375</v>
      </c>
      <c r="B107" t="s">
        <v>38</v>
      </c>
      <c r="C107" s="12">
        <v>20</v>
      </c>
      <c r="D107" s="12">
        <v>20</v>
      </c>
      <c r="E107" s="11">
        <v>0.09</v>
      </c>
      <c r="F107" s="13">
        <v>0</v>
      </c>
      <c r="G107" s="11">
        <v>0.12</v>
      </c>
      <c r="H107" s="12">
        <v>13</v>
      </c>
      <c r="I107" s="11">
        <v>0.66</v>
      </c>
      <c r="J107" s="14">
        <v>6</v>
      </c>
      <c r="K107" s="31" t="s">
        <v>28</v>
      </c>
      <c r="L107" s="15">
        <v>1016.6</v>
      </c>
      <c r="P107" s="23">
        <f t="shared" si="17"/>
        <v>20</v>
      </c>
      <c r="Q107" s="23">
        <f t="shared" si="10"/>
        <v>20</v>
      </c>
      <c r="R107" s="23">
        <f t="shared" si="11"/>
        <v>0.09</v>
      </c>
      <c r="S107" s="23">
        <f t="shared" si="12"/>
        <v>0</v>
      </c>
      <c r="T107" s="23">
        <f t="shared" si="13"/>
        <v>0.12</v>
      </c>
      <c r="U107" s="23">
        <f t="shared" si="14"/>
        <v>13</v>
      </c>
      <c r="V107" s="23">
        <f t="shared" si="15"/>
        <v>0.66</v>
      </c>
      <c r="W107" s="23">
        <f t="shared" si="16"/>
        <v>6</v>
      </c>
      <c r="Y107" s="9" t="str">
        <f t="shared" si="18"/>
        <v>no</v>
      </c>
    </row>
    <row r="108" spans="1:25">
      <c r="A108" s="17">
        <v>0.41666666666666669</v>
      </c>
      <c r="B108" t="s">
        <v>38</v>
      </c>
      <c r="C108" s="12">
        <v>22</v>
      </c>
      <c r="D108" s="12">
        <v>22</v>
      </c>
      <c r="E108" s="11">
        <v>0.09</v>
      </c>
      <c r="F108" s="13">
        <v>0</v>
      </c>
      <c r="G108" s="11">
        <v>0.13</v>
      </c>
      <c r="H108" s="12">
        <v>13</v>
      </c>
      <c r="I108" s="11">
        <v>0.56000000000000005</v>
      </c>
      <c r="J108" s="14">
        <v>9</v>
      </c>
      <c r="K108" s="31" t="s">
        <v>28</v>
      </c>
      <c r="L108" s="15">
        <v>1016.4</v>
      </c>
      <c r="P108" s="23">
        <f t="shared" si="17"/>
        <v>22</v>
      </c>
      <c r="Q108" s="23">
        <f t="shared" si="10"/>
        <v>22</v>
      </c>
      <c r="R108" s="23">
        <f t="shared" si="11"/>
        <v>0.09</v>
      </c>
      <c r="S108" s="23">
        <f t="shared" si="12"/>
        <v>0</v>
      </c>
      <c r="T108" s="23">
        <f t="shared" si="13"/>
        <v>0.13</v>
      </c>
      <c r="U108" s="23">
        <f t="shared" si="14"/>
        <v>13</v>
      </c>
      <c r="V108" s="23">
        <f t="shared" si="15"/>
        <v>0.56000000000000005</v>
      </c>
      <c r="W108" s="23">
        <f t="shared" si="16"/>
        <v>9</v>
      </c>
      <c r="Y108" s="9" t="str">
        <f t="shared" si="18"/>
        <v>no</v>
      </c>
    </row>
    <row r="109" spans="1:25">
      <c r="A109" s="17">
        <v>0.45833333333333331</v>
      </c>
      <c r="B109" t="s">
        <v>38</v>
      </c>
      <c r="C109" s="12">
        <v>24</v>
      </c>
      <c r="D109" s="12">
        <v>24</v>
      </c>
      <c r="E109" s="11">
        <v>0.09</v>
      </c>
      <c r="F109" s="13">
        <v>0</v>
      </c>
      <c r="G109" s="11">
        <v>0.16</v>
      </c>
      <c r="H109" s="12">
        <v>12</v>
      </c>
      <c r="I109" s="11">
        <v>0.49</v>
      </c>
      <c r="J109" s="14">
        <v>10</v>
      </c>
      <c r="K109" s="31" t="s">
        <v>28</v>
      </c>
      <c r="L109" s="15">
        <v>1016.09</v>
      </c>
      <c r="P109" s="23">
        <f t="shared" si="17"/>
        <v>24</v>
      </c>
      <c r="Q109" s="23">
        <f t="shared" si="10"/>
        <v>24</v>
      </c>
      <c r="R109" s="23">
        <f t="shared" si="11"/>
        <v>0.09</v>
      </c>
      <c r="S109" s="23">
        <f t="shared" si="12"/>
        <v>0</v>
      </c>
      <c r="T109" s="23">
        <f t="shared" si="13"/>
        <v>0.16</v>
      </c>
      <c r="U109" s="23">
        <f t="shared" si="14"/>
        <v>12</v>
      </c>
      <c r="V109" s="23">
        <f t="shared" si="15"/>
        <v>0.49</v>
      </c>
      <c r="W109" s="23">
        <f t="shared" si="16"/>
        <v>10</v>
      </c>
      <c r="Y109" s="9" t="str">
        <f t="shared" si="18"/>
        <v>no</v>
      </c>
    </row>
    <row r="110" spans="1:25">
      <c r="A110" s="17">
        <v>0.5</v>
      </c>
      <c r="B110" t="s">
        <v>38</v>
      </c>
      <c r="C110" s="12">
        <v>25</v>
      </c>
      <c r="D110" s="12">
        <v>25</v>
      </c>
      <c r="E110" s="11">
        <v>0.05</v>
      </c>
      <c r="F110" s="13">
        <v>0</v>
      </c>
      <c r="G110" s="11">
        <v>0.19</v>
      </c>
      <c r="H110" s="12">
        <v>12</v>
      </c>
      <c r="I110" s="11">
        <v>0.43</v>
      </c>
      <c r="J110" s="14">
        <v>13</v>
      </c>
      <c r="K110" s="31" t="s">
        <v>28</v>
      </c>
      <c r="L110" s="15">
        <v>1015.7</v>
      </c>
      <c r="P110" s="23">
        <f t="shared" si="17"/>
        <v>25</v>
      </c>
      <c r="Q110" s="23">
        <f t="shared" si="10"/>
        <v>25</v>
      </c>
      <c r="R110" s="23">
        <f t="shared" si="11"/>
        <v>0.05</v>
      </c>
      <c r="S110" s="23">
        <f t="shared" si="12"/>
        <v>0</v>
      </c>
      <c r="T110" s="23">
        <f t="shared" si="13"/>
        <v>0.19</v>
      </c>
      <c r="U110" s="23">
        <f t="shared" si="14"/>
        <v>12</v>
      </c>
      <c r="V110" s="23">
        <f t="shared" si="15"/>
        <v>0.43</v>
      </c>
      <c r="W110" s="23">
        <f t="shared" si="16"/>
        <v>13</v>
      </c>
      <c r="Y110" s="9" t="str">
        <f t="shared" si="18"/>
        <v>no</v>
      </c>
    </row>
    <row r="111" spans="1:25">
      <c r="A111" s="17">
        <v>0.54166666666666663</v>
      </c>
      <c r="B111" t="s">
        <v>37</v>
      </c>
      <c r="C111" s="12">
        <v>26</v>
      </c>
      <c r="D111" s="12">
        <v>26</v>
      </c>
      <c r="E111" s="11">
        <v>0.05</v>
      </c>
      <c r="F111" s="13">
        <v>0</v>
      </c>
      <c r="G111" s="11">
        <v>0.25</v>
      </c>
      <c r="H111" s="12">
        <v>11</v>
      </c>
      <c r="I111" s="11">
        <v>0.38</v>
      </c>
      <c r="J111" s="14">
        <v>14</v>
      </c>
      <c r="K111" s="31" t="s">
        <v>28</v>
      </c>
      <c r="L111" s="15">
        <v>1015.29</v>
      </c>
      <c r="P111" s="23">
        <f t="shared" si="17"/>
        <v>26</v>
      </c>
      <c r="Q111" s="23">
        <f t="shared" si="10"/>
        <v>26</v>
      </c>
      <c r="R111" s="23">
        <f t="shared" si="11"/>
        <v>0.05</v>
      </c>
      <c r="S111" s="23">
        <f t="shared" si="12"/>
        <v>0</v>
      </c>
      <c r="T111" s="23">
        <f t="shared" si="13"/>
        <v>0.25</v>
      </c>
      <c r="U111" s="23">
        <f t="shared" si="14"/>
        <v>11</v>
      </c>
      <c r="V111" s="23">
        <f t="shared" si="15"/>
        <v>0.38</v>
      </c>
      <c r="W111" s="23">
        <f t="shared" si="16"/>
        <v>14</v>
      </c>
      <c r="Y111" s="9" t="str">
        <f t="shared" si="18"/>
        <v>no</v>
      </c>
    </row>
    <row r="112" spans="1:25">
      <c r="A112" s="17">
        <v>0.58333333333333337</v>
      </c>
      <c r="B112" t="s">
        <v>35</v>
      </c>
      <c r="C112" s="12">
        <v>27</v>
      </c>
      <c r="D112" s="12">
        <v>27</v>
      </c>
      <c r="E112" s="11">
        <v>0.03</v>
      </c>
      <c r="F112" s="13">
        <v>0</v>
      </c>
      <c r="G112" s="11">
        <v>0.33</v>
      </c>
      <c r="H112" s="12">
        <v>10</v>
      </c>
      <c r="I112" s="11">
        <v>0.35</v>
      </c>
      <c r="J112" s="14">
        <v>15</v>
      </c>
      <c r="K112" s="31" t="s">
        <v>26</v>
      </c>
      <c r="L112" s="15">
        <v>1014.8</v>
      </c>
      <c r="P112" s="23">
        <f t="shared" si="17"/>
        <v>27</v>
      </c>
      <c r="Q112" s="23">
        <f t="shared" si="10"/>
        <v>27</v>
      </c>
      <c r="R112" s="23">
        <f t="shared" si="11"/>
        <v>0.03</v>
      </c>
      <c r="S112" s="23">
        <f t="shared" si="12"/>
        <v>0</v>
      </c>
      <c r="T112" s="23">
        <f t="shared" si="13"/>
        <v>0.33</v>
      </c>
      <c r="U112" s="23">
        <f t="shared" si="14"/>
        <v>10</v>
      </c>
      <c r="V112" s="23">
        <f t="shared" si="15"/>
        <v>0.35</v>
      </c>
      <c r="W112" s="23">
        <f t="shared" si="16"/>
        <v>15</v>
      </c>
      <c r="Y112" s="9" t="str">
        <f t="shared" si="18"/>
        <v>no</v>
      </c>
    </row>
    <row r="113" spans="1:25">
      <c r="A113" s="17">
        <v>0.625</v>
      </c>
      <c r="B113" t="s">
        <v>35</v>
      </c>
      <c r="C113" s="12">
        <v>27</v>
      </c>
      <c r="D113" s="12">
        <v>27</v>
      </c>
      <c r="E113" s="11">
        <v>0.1</v>
      </c>
      <c r="F113" s="13">
        <v>0</v>
      </c>
      <c r="G113" s="11">
        <v>0.37</v>
      </c>
      <c r="H113" s="12">
        <v>10</v>
      </c>
      <c r="I113" s="11">
        <v>0.35</v>
      </c>
      <c r="J113" s="14">
        <v>15</v>
      </c>
      <c r="K113" s="31" t="s">
        <v>26</v>
      </c>
      <c r="L113" s="15">
        <v>1014.4</v>
      </c>
      <c r="P113" s="23">
        <f t="shared" si="17"/>
        <v>27</v>
      </c>
      <c r="Q113" s="23">
        <f t="shared" si="10"/>
        <v>27</v>
      </c>
      <c r="R113" s="23">
        <f t="shared" si="11"/>
        <v>0.1</v>
      </c>
      <c r="S113" s="23">
        <f t="shared" si="12"/>
        <v>0</v>
      </c>
      <c r="T113" s="23">
        <f t="shared" si="13"/>
        <v>0.37</v>
      </c>
      <c r="U113" s="23">
        <f t="shared" si="14"/>
        <v>10</v>
      </c>
      <c r="V113" s="23">
        <f t="shared" si="15"/>
        <v>0.35</v>
      </c>
      <c r="W113" s="23">
        <f t="shared" si="16"/>
        <v>15</v>
      </c>
      <c r="Y113" s="9" t="str">
        <f t="shared" si="18"/>
        <v>no</v>
      </c>
    </row>
    <row r="114" spans="1:25">
      <c r="A114" s="17">
        <v>0.66666666666666663</v>
      </c>
      <c r="B114" t="s">
        <v>35</v>
      </c>
      <c r="C114" s="12">
        <v>28</v>
      </c>
      <c r="D114" s="12">
        <v>28</v>
      </c>
      <c r="E114" s="11">
        <v>0.09</v>
      </c>
      <c r="F114" s="13">
        <v>0</v>
      </c>
      <c r="G114" s="11">
        <v>0.36</v>
      </c>
      <c r="H114" s="12">
        <v>11</v>
      </c>
      <c r="I114" s="11">
        <v>0.35</v>
      </c>
      <c r="J114" s="14">
        <v>14</v>
      </c>
      <c r="K114" s="31" t="s">
        <v>26</v>
      </c>
      <c r="L114" s="15">
        <v>1014.2</v>
      </c>
      <c r="P114" s="23">
        <f t="shared" si="17"/>
        <v>28</v>
      </c>
      <c r="Q114" s="23">
        <f t="shared" si="10"/>
        <v>28</v>
      </c>
      <c r="R114" s="23">
        <f t="shared" si="11"/>
        <v>0.09</v>
      </c>
      <c r="S114" s="23">
        <f t="shared" si="12"/>
        <v>0</v>
      </c>
      <c r="T114" s="23">
        <f t="shared" si="13"/>
        <v>0.36</v>
      </c>
      <c r="U114" s="23">
        <f t="shared" si="14"/>
        <v>11</v>
      </c>
      <c r="V114" s="23">
        <f t="shared" si="15"/>
        <v>0.35</v>
      </c>
      <c r="W114" s="23">
        <f t="shared" si="16"/>
        <v>14</v>
      </c>
      <c r="Y114" s="9" t="str">
        <f t="shared" si="18"/>
        <v>no</v>
      </c>
    </row>
    <row r="115" spans="1:25">
      <c r="A115" s="17">
        <v>0.70833333333333337</v>
      </c>
      <c r="B115" t="s">
        <v>35</v>
      </c>
      <c r="C115" s="12">
        <v>27</v>
      </c>
      <c r="D115" s="12">
        <v>27</v>
      </c>
      <c r="E115" s="11">
        <v>0.06</v>
      </c>
      <c r="F115" s="13">
        <v>0</v>
      </c>
      <c r="G115" s="11">
        <v>0.36</v>
      </c>
      <c r="H115" s="12">
        <v>11</v>
      </c>
      <c r="I115" s="11">
        <v>0.36</v>
      </c>
      <c r="J115" s="14">
        <v>15</v>
      </c>
      <c r="K115" s="31" t="s">
        <v>26</v>
      </c>
      <c r="L115" s="15">
        <v>1014.29</v>
      </c>
      <c r="P115" s="23">
        <f t="shared" si="17"/>
        <v>27</v>
      </c>
      <c r="Q115" s="23">
        <f t="shared" si="10"/>
        <v>27</v>
      </c>
      <c r="R115" s="23">
        <f t="shared" si="11"/>
        <v>0.06</v>
      </c>
      <c r="S115" s="23">
        <f t="shared" si="12"/>
        <v>0</v>
      </c>
      <c r="T115" s="23">
        <f t="shared" si="13"/>
        <v>0.36</v>
      </c>
      <c r="U115" s="23">
        <f t="shared" si="14"/>
        <v>11</v>
      </c>
      <c r="V115" s="23">
        <f t="shared" si="15"/>
        <v>0.36</v>
      </c>
      <c r="W115" s="23">
        <f t="shared" si="16"/>
        <v>15</v>
      </c>
      <c r="Y115" s="9" t="str">
        <f t="shared" si="18"/>
        <v>no</v>
      </c>
    </row>
    <row r="116" spans="1:25">
      <c r="A116" s="17">
        <v>0.75</v>
      </c>
      <c r="B116" t="s">
        <v>35</v>
      </c>
      <c r="C116" s="12">
        <v>27</v>
      </c>
      <c r="D116" s="12">
        <v>27</v>
      </c>
      <c r="E116" s="11">
        <v>0.04</v>
      </c>
      <c r="F116" s="13">
        <v>0</v>
      </c>
      <c r="G116" s="11">
        <v>0.33</v>
      </c>
      <c r="H116" s="12">
        <v>11</v>
      </c>
      <c r="I116" s="11">
        <v>0.38</v>
      </c>
      <c r="J116" s="14">
        <v>15</v>
      </c>
      <c r="K116" s="31" t="s">
        <v>26</v>
      </c>
      <c r="L116" s="15">
        <v>1014.4</v>
      </c>
      <c r="P116" s="23">
        <f t="shared" si="17"/>
        <v>27</v>
      </c>
      <c r="Q116" s="23">
        <f t="shared" si="10"/>
        <v>27</v>
      </c>
      <c r="R116" s="23">
        <f t="shared" si="11"/>
        <v>0.04</v>
      </c>
      <c r="S116" s="23">
        <f t="shared" si="12"/>
        <v>0</v>
      </c>
      <c r="T116" s="23">
        <f t="shared" si="13"/>
        <v>0.33</v>
      </c>
      <c r="U116" s="23">
        <f t="shared" si="14"/>
        <v>11</v>
      </c>
      <c r="V116" s="23">
        <f t="shared" si="15"/>
        <v>0.38</v>
      </c>
      <c r="W116" s="23">
        <f t="shared" si="16"/>
        <v>15</v>
      </c>
      <c r="Y116" s="9" t="str">
        <f t="shared" si="18"/>
        <v>no</v>
      </c>
    </row>
    <row r="117" spans="1:25">
      <c r="A117" s="17">
        <v>0.79166666666666663</v>
      </c>
      <c r="B117" t="s">
        <v>37</v>
      </c>
      <c r="C117" s="12">
        <v>26</v>
      </c>
      <c r="D117" s="12">
        <v>26</v>
      </c>
      <c r="E117" s="11">
        <v>0.03</v>
      </c>
      <c r="F117" s="13">
        <v>0</v>
      </c>
      <c r="G117" s="11">
        <v>0.28999999999999998</v>
      </c>
      <c r="H117" s="12">
        <v>11</v>
      </c>
      <c r="I117" s="11">
        <v>0.4</v>
      </c>
      <c r="J117" s="14">
        <v>15</v>
      </c>
      <c r="K117" s="31" t="s">
        <v>26</v>
      </c>
      <c r="L117" s="15">
        <v>1014.6</v>
      </c>
      <c r="P117" s="23">
        <f t="shared" si="17"/>
        <v>26</v>
      </c>
      <c r="Q117" s="23">
        <f t="shared" si="10"/>
        <v>26</v>
      </c>
      <c r="R117" s="23">
        <f t="shared" si="11"/>
        <v>0.03</v>
      </c>
      <c r="S117" s="23">
        <f t="shared" si="12"/>
        <v>0</v>
      </c>
      <c r="T117" s="23">
        <f t="shared" si="13"/>
        <v>0.28999999999999998</v>
      </c>
      <c r="U117" s="23">
        <f t="shared" si="14"/>
        <v>11</v>
      </c>
      <c r="V117" s="23">
        <f t="shared" si="15"/>
        <v>0.4</v>
      </c>
      <c r="W117" s="23">
        <f t="shared" si="16"/>
        <v>15</v>
      </c>
      <c r="Y117" s="9" t="str">
        <f t="shared" si="18"/>
        <v>no</v>
      </c>
    </row>
    <row r="118" spans="1:25">
      <c r="A118" s="17">
        <v>0.83333333333333337</v>
      </c>
      <c r="B118" t="s">
        <v>37</v>
      </c>
      <c r="C118" s="12">
        <v>24</v>
      </c>
      <c r="D118" s="12">
        <v>24</v>
      </c>
      <c r="E118" s="11">
        <v>0.03</v>
      </c>
      <c r="F118" s="13">
        <v>0</v>
      </c>
      <c r="G118" s="11">
        <v>0.23</v>
      </c>
      <c r="H118" s="12">
        <v>12</v>
      </c>
      <c r="I118" s="11">
        <v>0.46</v>
      </c>
      <c r="J118" s="14">
        <v>13</v>
      </c>
      <c r="K118" s="31" t="s">
        <v>26</v>
      </c>
      <c r="L118" s="15">
        <v>1014.89</v>
      </c>
      <c r="P118" s="23">
        <f t="shared" si="17"/>
        <v>24</v>
      </c>
      <c r="Q118" s="23">
        <f t="shared" si="10"/>
        <v>24</v>
      </c>
      <c r="R118" s="23">
        <f t="shared" si="11"/>
        <v>0.03</v>
      </c>
      <c r="S118" s="23">
        <f t="shared" si="12"/>
        <v>0</v>
      </c>
      <c r="T118" s="23">
        <f t="shared" si="13"/>
        <v>0.23</v>
      </c>
      <c r="U118" s="23">
        <f t="shared" si="14"/>
        <v>12</v>
      </c>
      <c r="V118" s="23">
        <f t="shared" si="15"/>
        <v>0.46</v>
      </c>
      <c r="W118" s="23">
        <f t="shared" si="16"/>
        <v>13</v>
      </c>
      <c r="Y118" s="9" t="str">
        <f t="shared" si="18"/>
        <v>no</v>
      </c>
    </row>
    <row r="119" spans="1:25">
      <c r="A119" s="17">
        <v>0.875</v>
      </c>
      <c r="B119" t="s">
        <v>39</v>
      </c>
      <c r="C119" s="12">
        <v>22</v>
      </c>
      <c r="D119" s="12">
        <v>22</v>
      </c>
      <c r="E119" s="11">
        <v>0.01</v>
      </c>
      <c r="F119" s="13">
        <v>0</v>
      </c>
      <c r="G119" s="11">
        <v>0.19</v>
      </c>
      <c r="H119" s="12">
        <v>12</v>
      </c>
      <c r="I119" s="11">
        <v>0.52</v>
      </c>
      <c r="J119" s="14">
        <v>10</v>
      </c>
      <c r="K119" s="31" t="s">
        <v>26</v>
      </c>
      <c r="L119" s="15">
        <v>1015.29</v>
      </c>
      <c r="P119" s="23">
        <f t="shared" si="17"/>
        <v>22</v>
      </c>
      <c r="Q119" s="23">
        <f t="shared" si="10"/>
        <v>22</v>
      </c>
      <c r="R119" s="23">
        <f t="shared" si="11"/>
        <v>0.01</v>
      </c>
      <c r="S119" s="23">
        <f t="shared" si="12"/>
        <v>0</v>
      </c>
      <c r="T119" s="23">
        <f t="shared" si="13"/>
        <v>0.19</v>
      </c>
      <c r="U119" s="23">
        <f t="shared" si="14"/>
        <v>12</v>
      </c>
      <c r="V119" s="23">
        <f t="shared" si="15"/>
        <v>0.52</v>
      </c>
      <c r="W119" s="23">
        <f t="shared" si="16"/>
        <v>10</v>
      </c>
      <c r="Y119" s="9" t="str">
        <f t="shared" si="18"/>
        <v>no</v>
      </c>
    </row>
    <row r="120" spans="1:25">
      <c r="A120" s="17">
        <v>0.91666666666666663</v>
      </c>
      <c r="B120" t="s">
        <v>39</v>
      </c>
      <c r="C120" s="12">
        <v>21</v>
      </c>
      <c r="D120" s="12">
        <v>21</v>
      </c>
      <c r="E120" s="11">
        <v>0.02</v>
      </c>
      <c r="F120" s="13">
        <v>0</v>
      </c>
      <c r="G120" s="11">
        <v>0.14000000000000001</v>
      </c>
      <c r="H120" s="12">
        <v>12</v>
      </c>
      <c r="I120" s="11">
        <v>0.56999999999999995</v>
      </c>
      <c r="J120" s="14">
        <v>9</v>
      </c>
      <c r="K120" s="31" t="s">
        <v>29</v>
      </c>
      <c r="L120" s="15">
        <v>1015.79</v>
      </c>
      <c r="P120" s="23">
        <f t="shared" si="17"/>
        <v>21</v>
      </c>
      <c r="Q120" s="23">
        <f t="shared" si="10"/>
        <v>21</v>
      </c>
      <c r="R120" s="23">
        <f t="shared" si="11"/>
        <v>0.02</v>
      </c>
      <c r="S120" s="23">
        <f t="shared" si="12"/>
        <v>0</v>
      </c>
      <c r="T120" s="23">
        <f t="shared" si="13"/>
        <v>0.14000000000000001</v>
      </c>
      <c r="U120" s="23">
        <f t="shared" si="14"/>
        <v>12</v>
      </c>
      <c r="V120" s="23">
        <f t="shared" si="15"/>
        <v>0.56999999999999995</v>
      </c>
      <c r="W120" s="23">
        <f t="shared" si="16"/>
        <v>9</v>
      </c>
      <c r="Y120" s="9" t="str">
        <f t="shared" si="18"/>
        <v>no</v>
      </c>
    </row>
    <row r="121" spans="1:25">
      <c r="A121" s="17">
        <v>0.95833333333333337</v>
      </c>
      <c r="B121" t="s">
        <v>39</v>
      </c>
      <c r="C121" s="12">
        <v>19</v>
      </c>
      <c r="D121" s="12">
        <v>19</v>
      </c>
      <c r="E121" s="11">
        <v>0.03</v>
      </c>
      <c r="F121" s="13">
        <v>0</v>
      </c>
      <c r="G121" s="11">
        <v>0.1</v>
      </c>
      <c r="H121" s="12">
        <v>12</v>
      </c>
      <c r="I121" s="11">
        <v>0.63</v>
      </c>
      <c r="J121" s="14">
        <v>8</v>
      </c>
      <c r="K121" s="31" t="s">
        <v>29</v>
      </c>
      <c r="L121" s="15">
        <v>1016.3</v>
      </c>
      <c r="P121" s="23">
        <f t="shared" si="17"/>
        <v>19</v>
      </c>
      <c r="Q121" s="23">
        <f t="shared" si="10"/>
        <v>19</v>
      </c>
      <c r="R121" s="23">
        <f t="shared" si="11"/>
        <v>0.03</v>
      </c>
      <c r="S121" s="23">
        <f t="shared" si="12"/>
        <v>0</v>
      </c>
      <c r="T121" s="23">
        <f t="shared" si="13"/>
        <v>0.1</v>
      </c>
      <c r="U121" s="23">
        <f t="shared" si="14"/>
        <v>12</v>
      </c>
      <c r="V121" s="23">
        <f t="shared" si="15"/>
        <v>0.63</v>
      </c>
      <c r="W121" s="23">
        <f t="shared" si="16"/>
        <v>8</v>
      </c>
      <c r="Y121" s="9" t="str">
        <f t="shared" si="18"/>
        <v>no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Wunderground">
                <anchor moveWithCells="1" sizeWithCells="1">
                  <from>
                    <xdr:col>13</xdr:col>
                    <xdr:colOff>19050</xdr:colOff>
                    <xdr:row>1</xdr:row>
                    <xdr:rowOff>66675</xdr:rowOff>
                  </from>
                  <to>
                    <xdr:col>14</xdr:col>
                    <xdr:colOff>438150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F47F5-7777-429D-8031-81EA27575B28}">
  <sheetPr codeName="Sheet2"/>
  <dimension ref="A1:Z132"/>
  <sheetViews>
    <sheetView zoomScale="70" zoomScaleNormal="70" workbookViewId="0">
      <selection activeCell="C13" sqref="C13:J132"/>
    </sheetView>
  </sheetViews>
  <sheetFormatPr defaultColWidth="9.140625" defaultRowHeight="12.75"/>
  <cols>
    <col min="1" max="2" width="12.7109375" customWidth="1"/>
    <col min="3" max="12" width="21.42578125" style="22" customWidth="1"/>
    <col min="13" max="13" width="16.28515625" style="22" customWidth="1"/>
    <col min="14" max="16384" width="9.140625" style="22"/>
  </cols>
  <sheetData>
    <row r="1" spans="1:26" customFormat="1">
      <c r="A1" s="34"/>
      <c r="B1" s="34"/>
      <c r="C1" t="s">
        <v>4</v>
      </c>
    </row>
    <row r="2" spans="1:26" customFormat="1">
      <c r="A2" s="32"/>
      <c r="B2" s="32"/>
      <c r="C2" s="18"/>
      <c r="D2" s="18"/>
      <c r="E2" s="18"/>
      <c r="F2" s="18"/>
    </row>
    <row r="3" spans="1:26" customFormat="1">
      <c r="A3" s="32"/>
      <c r="B3" s="32"/>
      <c r="C3" s="18"/>
      <c r="D3" s="19"/>
      <c r="E3" s="18"/>
      <c r="F3" s="18"/>
    </row>
    <row r="4" spans="1:26" customFormat="1">
      <c r="A4" s="32"/>
      <c r="B4" s="32"/>
      <c r="C4" s="18"/>
      <c r="D4" s="18"/>
      <c r="E4" s="18"/>
      <c r="F4" s="18"/>
    </row>
    <row r="5" spans="1:26" customFormat="1">
      <c r="A5" s="35"/>
      <c r="B5" s="35"/>
      <c r="C5" s="19"/>
      <c r="D5" s="19"/>
      <c r="E5" s="19"/>
      <c r="F5" s="19"/>
    </row>
    <row r="6" spans="1:26" customFormat="1">
      <c r="A6" s="35"/>
      <c r="B6" s="35"/>
      <c r="C6" s="19" t="s">
        <v>3</v>
      </c>
      <c r="D6" s="19"/>
      <c r="E6" s="19"/>
      <c r="F6" s="19"/>
    </row>
    <row r="7" spans="1:26" customFormat="1">
      <c r="A7" s="32"/>
      <c r="B7" s="32"/>
      <c r="C7" s="20"/>
      <c r="D7" s="20"/>
      <c r="E7" s="20"/>
      <c r="F7" s="20"/>
    </row>
    <row r="8" spans="1:26" customFormat="1">
      <c r="D8" s="8"/>
    </row>
    <row r="9" spans="1:26" customFormat="1" ht="21.75" customHeight="1">
      <c r="C9" s="26" t="s">
        <v>0</v>
      </c>
      <c r="D9" s="27">
        <f>MIN(A:A)</f>
        <v>44397</v>
      </c>
      <c r="E9" s="26" t="s">
        <v>1</v>
      </c>
      <c r="F9" s="27">
        <f>MAX(A:A)</f>
        <v>44401</v>
      </c>
      <c r="G9" s="2"/>
    </row>
    <row r="10" spans="1:26" customFormat="1">
      <c r="A10" s="33"/>
      <c r="B10" s="33"/>
      <c r="C10" s="24"/>
      <c r="D10" s="3"/>
      <c r="E10" s="3"/>
      <c r="F10" s="3"/>
      <c r="G10" s="4"/>
      <c r="H10" s="3"/>
      <c r="I10" s="3"/>
      <c r="J10" s="3"/>
      <c r="K10" s="3"/>
      <c r="L10" s="3"/>
    </row>
    <row r="11" spans="1:26" customFormat="1" ht="79.5" customHeight="1">
      <c r="A11" s="29"/>
      <c r="B11" s="30"/>
      <c r="C11" s="24" t="s">
        <v>14</v>
      </c>
      <c r="D11" s="3" t="s">
        <v>15</v>
      </c>
      <c r="E11" s="3" t="s">
        <v>17</v>
      </c>
      <c r="F11" s="3" t="s">
        <v>16</v>
      </c>
      <c r="G11" s="4" t="s">
        <v>18</v>
      </c>
      <c r="H11" s="3" t="s">
        <v>19</v>
      </c>
      <c r="I11" s="3" t="s">
        <v>20</v>
      </c>
      <c r="J11" s="3" t="s">
        <v>21</v>
      </c>
      <c r="K11" s="3"/>
      <c r="L11" s="3"/>
    </row>
    <row r="12" spans="1:26" customFormat="1">
      <c r="A12" s="25" t="s">
        <v>2</v>
      </c>
      <c r="B12" s="25"/>
      <c r="C12" s="28"/>
      <c r="D12" s="28"/>
      <c r="E12" s="28"/>
      <c r="F12" s="28"/>
      <c r="G12" s="28"/>
      <c r="H12" s="28"/>
      <c r="I12" s="28"/>
      <c r="J12" s="28"/>
      <c r="K12" s="28"/>
      <c r="L12" s="28"/>
    </row>
    <row r="13" spans="1:26">
      <c r="A13" s="21">
        <v>44397</v>
      </c>
      <c r="B13" s="1"/>
      <c r="C13" s="5">
        <f>Download_WU!P2</f>
        <v>20</v>
      </c>
      <c r="D13" s="5">
        <f>Download_WU!Q2</f>
        <v>20</v>
      </c>
      <c r="E13" s="5">
        <f>Download_WU!R2</f>
        <v>0.53</v>
      </c>
      <c r="F13" s="5">
        <f>Download_WU!S2</f>
        <v>0.15</v>
      </c>
      <c r="G13" s="5">
        <f>Download_WU!T2</f>
        <v>0.5</v>
      </c>
      <c r="H13" s="5">
        <f>Download_WU!U2</f>
        <v>18</v>
      </c>
      <c r="I13" s="5">
        <f>Download_WU!V2</f>
        <v>0.9</v>
      </c>
      <c r="J13" s="5">
        <f>Download_WU!W2</f>
        <v>8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>
      <c r="A14" s="21"/>
      <c r="B14" s="1"/>
      <c r="C14" s="5">
        <f>Download_WU!P3</f>
        <v>20</v>
      </c>
      <c r="D14" s="5">
        <f>Download_WU!Q3</f>
        <v>20</v>
      </c>
      <c r="E14" s="5">
        <f>Download_WU!R3</f>
        <v>0.57999999999999996</v>
      </c>
      <c r="F14" s="5">
        <f>Download_WU!S3</f>
        <v>0.3</v>
      </c>
      <c r="G14" s="5">
        <f>Download_WU!T3</f>
        <v>0.5</v>
      </c>
      <c r="H14" s="5">
        <f>Download_WU!U3</f>
        <v>18</v>
      </c>
      <c r="I14" s="5">
        <f>Download_WU!V3</f>
        <v>0.89</v>
      </c>
      <c r="J14" s="5">
        <f>Download_WU!W3</f>
        <v>6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>
      <c r="A15" s="21"/>
      <c r="B15" s="1"/>
      <c r="C15" s="5">
        <f>Download_WU!P4</f>
        <v>19</v>
      </c>
      <c r="D15" s="5">
        <f>Download_WU!Q4</f>
        <v>20</v>
      </c>
      <c r="E15" s="5">
        <f>Download_WU!R4</f>
        <v>0.56999999999999995</v>
      </c>
      <c r="F15" s="5">
        <f>Download_WU!S4</f>
        <v>0.19</v>
      </c>
      <c r="G15" s="5">
        <f>Download_WU!T4</f>
        <v>0.5</v>
      </c>
      <c r="H15" s="5">
        <f>Download_WU!U4</f>
        <v>18</v>
      </c>
      <c r="I15" s="5">
        <f>Download_WU!V4</f>
        <v>0.93</v>
      </c>
      <c r="J15" s="5">
        <f>Download_WU!W4</f>
        <v>7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>
      <c r="A16" s="21"/>
      <c r="B16" s="1"/>
      <c r="C16" s="5">
        <f>Download_WU!P5</f>
        <v>19</v>
      </c>
      <c r="D16" s="5">
        <f>Download_WU!Q5</f>
        <v>19</v>
      </c>
      <c r="E16" s="5">
        <f>Download_WU!R5</f>
        <v>0.53</v>
      </c>
      <c r="F16" s="5">
        <f>Download_WU!S5</f>
        <v>0.15</v>
      </c>
      <c r="G16" s="5">
        <f>Download_WU!T5</f>
        <v>0.5</v>
      </c>
      <c r="H16" s="5">
        <f>Download_WU!U5</f>
        <v>17</v>
      </c>
      <c r="I16" s="5">
        <f>Download_WU!V5</f>
        <v>0.91</v>
      </c>
      <c r="J16" s="5">
        <f>Download_WU!W5</f>
        <v>7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>
      <c r="A17" s="21"/>
      <c r="B17" s="1"/>
      <c r="C17" s="5">
        <f>Download_WU!P6</f>
        <v>18</v>
      </c>
      <c r="D17" s="5">
        <f>Download_WU!Q6</f>
        <v>18</v>
      </c>
      <c r="E17" s="5">
        <f>Download_WU!R6</f>
        <v>0.44</v>
      </c>
      <c r="F17" s="5">
        <f>Download_WU!S6</f>
        <v>0.15</v>
      </c>
      <c r="G17" s="5">
        <f>Download_WU!T6</f>
        <v>0.5</v>
      </c>
      <c r="H17" s="5">
        <f>Download_WU!U6</f>
        <v>17</v>
      </c>
      <c r="I17" s="5">
        <f>Download_WU!V6</f>
        <v>0.93</v>
      </c>
      <c r="J17" s="5">
        <f>Download_WU!W6</f>
        <v>6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>
      <c r="A18" s="21"/>
      <c r="B18" s="1"/>
      <c r="C18" s="5">
        <f>Download_WU!P7</f>
        <v>18</v>
      </c>
      <c r="D18" s="5">
        <f>Download_WU!Q7</f>
        <v>18</v>
      </c>
      <c r="E18" s="5">
        <f>Download_WU!R7</f>
        <v>0.44</v>
      </c>
      <c r="F18" s="5">
        <f>Download_WU!S7</f>
        <v>0.05</v>
      </c>
      <c r="G18" s="5">
        <f>Download_WU!T7</f>
        <v>0.5</v>
      </c>
      <c r="H18" s="5">
        <f>Download_WU!U7</f>
        <v>17</v>
      </c>
      <c r="I18" s="5">
        <f>Download_WU!V7</f>
        <v>0.96</v>
      </c>
      <c r="J18" s="5">
        <f>Download_WU!W7</f>
        <v>6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>
      <c r="A19" s="21"/>
      <c r="B19" s="1"/>
      <c r="C19" s="5">
        <f>Download_WU!P8</f>
        <v>17</v>
      </c>
      <c r="D19" s="5">
        <f>Download_WU!Q8</f>
        <v>17</v>
      </c>
      <c r="E19" s="5">
        <f>Download_WU!R8</f>
        <v>0.24</v>
      </c>
      <c r="F19" s="5">
        <f>Download_WU!S8</f>
        <v>0</v>
      </c>
      <c r="G19" s="5">
        <f>Download_WU!T8</f>
        <v>0.42</v>
      </c>
      <c r="H19" s="5">
        <f>Download_WU!U8</f>
        <v>17</v>
      </c>
      <c r="I19" s="5">
        <f>Download_WU!V8</f>
        <v>0.97</v>
      </c>
      <c r="J19" s="5">
        <f>Download_WU!W8</f>
        <v>6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>
      <c r="A20" s="21"/>
      <c r="B20" s="1"/>
      <c r="C20" s="5">
        <f>Download_WU!P9</f>
        <v>18</v>
      </c>
      <c r="D20" s="5">
        <f>Download_WU!Q9</f>
        <v>18</v>
      </c>
      <c r="E20" s="5">
        <f>Download_WU!R9</f>
        <v>0.4</v>
      </c>
      <c r="F20" s="5">
        <f>Download_WU!S9</f>
        <v>0.15</v>
      </c>
      <c r="G20" s="5">
        <f>Download_WU!T9</f>
        <v>0.5</v>
      </c>
      <c r="H20" s="5">
        <f>Download_WU!U9</f>
        <v>17</v>
      </c>
      <c r="I20" s="5">
        <f>Download_WU!V9</f>
        <v>0.96</v>
      </c>
      <c r="J20" s="5">
        <f>Download_WU!W9</f>
        <v>7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>
      <c r="A21" s="21"/>
      <c r="B21" s="1"/>
      <c r="C21" s="5">
        <f>Download_WU!P10</f>
        <v>19</v>
      </c>
      <c r="D21" s="5">
        <f>Download_WU!Q10</f>
        <v>20</v>
      </c>
      <c r="E21" s="5">
        <f>Download_WU!R10</f>
        <v>0.54</v>
      </c>
      <c r="F21" s="5">
        <f>Download_WU!S10</f>
        <v>0.15</v>
      </c>
      <c r="G21" s="5">
        <f>Download_WU!T10</f>
        <v>0.53</v>
      </c>
      <c r="H21" s="5">
        <f>Download_WU!U10</f>
        <v>18</v>
      </c>
      <c r="I21" s="5">
        <f>Download_WU!V10</f>
        <v>0.93</v>
      </c>
      <c r="J21" s="5">
        <f>Download_WU!W10</f>
        <v>8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>
      <c r="A22" s="21"/>
      <c r="B22" s="1"/>
      <c r="C22" s="5">
        <f>Download_WU!P11</f>
        <v>20</v>
      </c>
      <c r="D22" s="5">
        <f>Download_WU!Q11</f>
        <v>21</v>
      </c>
      <c r="E22" s="5">
        <f>Download_WU!R11</f>
        <v>0.65</v>
      </c>
      <c r="F22" s="5">
        <f>Download_WU!S11</f>
        <v>0.16</v>
      </c>
      <c r="G22" s="5">
        <f>Download_WU!T11</f>
        <v>0.75</v>
      </c>
      <c r="H22" s="5">
        <f>Download_WU!U11</f>
        <v>18</v>
      </c>
      <c r="I22" s="5">
        <f>Download_WU!V11</f>
        <v>0.86</v>
      </c>
      <c r="J22" s="5">
        <f>Download_WU!W11</f>
        <v>9</v>
      </c>
      <c r="K22"/>
      <c r="L22"/>
      <c r="P22"/>
      <c r="Q22"/>
      <c r="R22"/>
      <c r="S22"/>
      <c r="T22"/>
      <c r="U22"/>
      <c r="V22"/>
      <c r="W22"/>
      <c r="X22"/>
      <c r="Y22"/>
      <c r="Z22"/>
    </row>
    <row r="23" spans="1:26">
      <c r="A23" s="21"/>
      <c r="B23" s="1"/>
      <c r="C23" s="5">
        <f>Download_WU!P12</f>
        <v>22</v>
      </c>
      <c r="D23" s="5">
        <f>Download_WU!Q12</f>
        <v>22</v>
      </c>
      <c r="E23" s="5">
        <f>Download_WU!R12</f>
        <v>0.72</v>
      </c>
      <c r="F23" s="5">
        <f>Download_WU!S12</f>
        <v>0.2</v>
      </c>
      <c r="G23" s="5">
        <f>Download_WU!T12</f>
        <v>0.75</v>
      </c>
      <c r="H23" s="5">
        <f>Download_WU!U12</f>
        <v>18</v>
      </c>
      <c r="I23" s="5">
        <f>Download_WU!V12</f>
        <v>0.79</v>
      </c>
      <c r="J23" s="5">
        <f>Download_WU!W12</f>
        <v>12</v>
      </c>
      <c r="K23"/>
      <c r="L23"/>
    </row>
    <row r="24" spans="1:26">
      <c r="A24" s="21"/>
      <c r="B24" s="1"/>
      <c r="C24" s="5">
        <f>Download_WU!P13</f>
        <v>23</v>
      </c>
      <c r="D24" s="5">
        <f>Download_WU!Q13</f>
        <v>23</v>
      </c>
      <c r="E24" s="5">
        <f>Download_WU!R13</f>
        <v>0.77</v>
      </c>
      <c r="F24" s="5">
        <f>Download_WU!S13</f>
        <v>0.39</v>
      </c>
      <c r="G24" s="5">
        <f>Download_WU!T13</f>
        <v>0.75</v>
      </c>
      <c r="H24" s="5">
        <f>Download_WU!U13</f>
        <v>18</v>
      </c>
      <c r="I24" s="5">
        <f>Download_WU!V13</f>
        <v>0.73</v>
      </c>
      <c r="J24" s="5">
        <f>Download_WU!W13</f>
        <v>12</v>
      </c>
      <c r="K24"/>
      <c r="L24"/>
    </row>
    <row r="25" spans="1:26">
      <c r="A25" s="21"/>
      <c r="B25" s="1"/>
      <c r="C25" s="5">
        <f>Download_WU!P14</f>
        <v>24</v>
      </c>
      <c r="D25" s="5">
        <f>Download_WU!Q14</f>
        <v>25</v>
      </c>
      <c r="E25" s="5">
        <f>Download_WU!R14</f>
        <v>0.74</v>
      </c>
      <c r="F25" s="5">
        <f>Download_WU!S14</f>
        <v>0.4</v>
      </c>
      <c r="G25" s="5">
        <f>Download_WU!T14</f>
        <v>0.75</v>
      </c>
      <c r="H25" s="5">
        <f>Download_WU!U14</f>
        <v>18</v>
      </c>
      <c r="I25" s="5">
        <f>Download_WU!V14</f>
        <v>0.67</v>
      </c>
      <c r="J25" s="5">
        <f>Download_WU!W14</f>
        <v>14</v>
      </c>
      <c r="K25"/>
      <c r="L25"/>
    </row>
    <row r="26" spans="1:26">
      <c r="A26" s="21"/>
      <c r="B26" s="1"/>
      <c r="C26" s="5">
        <f>Download_WU!P15</f>
        <v>25</v>
      </c>
      <c r="D26" s="5">
        <f>Download_WU!Q15</f>
        <v>27</v>
      </c>
      <c r="E26" s="5">
        <f>Download_WU!R15</f>
        <v>0.81</v>
      </c>
      <c r="F26" s="5">
        <f>Download_WU!S15</f>
        <v>0.59</v>
      </c>
      <c r="G26" s="5">
        <f>Download_WU!T15</f>
        <v>0.75</v>
      </c>
      <c r="H26" s="5">
        <f>Download_WU!U15</f>
        <v>18</v>
      </c>
      <c r="I26" s="5">
        <f>Download_WU!V15</f>
        <v>0.64</v>
      </c>
      <c r="J26" s="5">
        <f>Download_WU!W15</f>
        <v>15</v>
      </c>
      <c r="K26"/>
      <c r="L26"/>
    </row>
    <row r="27" spans="1:26">
      <c r="A27" s="21"/>
      <c r="B27" s="1"/>
      <c r="C27" s="5">
        <f>Download_WU!P16</f>
        <v>26</v>
      </c>
      <c r="D27" s="5">
        <f>Download_WU!Q16</f>
        <v>27</v>
      </c>
      <c r="E27" s="5">
        <f>Download_WU!R16</f>
        <v>0.75</v>
      </c>
      <c r="F27" s="5">
        <f>Download_WU!S16</f>
        <v>0.49</v>
      </c>
      <c r="G27" s="5">
        <f>Download_WU!T16</f>
        <v>0.75</v>
      </c>
      <c r="H27" s="5">
        <f>Download_WU!U16</f>
        <v>17</v>
      </c>
      <c r="I27" s="5">
        <f>Download_WU!V16</f>
        <v>0.61</v>
      </c>
      <c r="J27" s="5">
        <f>Download_WU!W16</f>
        <v>17</v>
      </c>
      <c r="K27"/>
      <c r="L27"/>
    </row>
    <row r="28" spans="1:26">
      <c r="A28" s="21"/>
      <c r="B28" s="1"/>
      <c r="C28" s="5">
        <f>Download_WU!P17</f>
        <v>26</v>
      </c>
      <c r="D28" s="5">
        <f>Download_WU!Q17</f>
        <v>28</v>
      </c>
      <c r="E28" s="5">
        <f>Download_WU!R17</f>
        <v>0.74</v>
      </c>
      <c r="F28" s="5">
        <f>Download_WU!S17</f>
        <v>0.39</v>
      </c>
      <c r="G28" s="5">
        <f>Download_WU!T17</f>
        <v>0.75</v>
      </c>
      <c r="H28" s="5">
        <f>Download_WU!U17</f>
        <v>17</v>
      </c>
      <c r="I28" s="5">
        <f>Download_WU!V17</f>
        <v>0.57999999999999996</v>
      </c>
      <c r="J28" s="5">
        <f>Download_WU!W17</f>
        <v>17</v>
      </c>
      <c r="K28"/>
      <c r="L28"/>
    </row>
    <row r="29" spans="1:26">
      <c r="A29" s="21"/>
      <c r="B29" s="1"/>
      <c r="C29" s="5">
        <f>Download_WU!P18</f>
        <v>27</v>
      </c>
      <c r="D29" s="5">
        <f>Download_WU!Q18</f>
        <v>28</v>
      </c>
      <c r="E29" s="5">
        <f>Download_WU!R18</f>
        <v>0.68</v>
      </c>
      <c r="F29" s="5">
        <f>Download_WU!S18</f>
        <v>0.25</v>
      </c>
      <c r="G29" s="5">
        <f>Download_WU!T18</f>
        <v>0.75</v>
      </c>
      <c r="H29" s="5">
        <f>Download_WU!U18</f>
        <v>17</v>
      </c>
      <c r="I29" s="5">
        <f>Download_WU!V18</f>
        <v>0.56000000000000005</v>
      </c>
      <c r="J29" s="5">
        <f>Download_WU!W18</f>
        <v>17</v>
      </c>
      <c r="K29"/>
      <c r="L29"/>
    </row>
    <row r="30" spans="1:26">
      <c r="A30" s="21"/>
      <c r="B30" s="1"/>
      <c r="C30" s="5">
        <f>Download_WU!P19</f>
        <v>26</v>
      </c>
      <c r="D30" s="5">
        <f>Download_WU!Q19</f>
        <v>28</v>
      </c>
      <c r="E30" s="5">
        <f>Download_WU!R19</f>
        <v>0.56000000000000005</v>
      </c>
      <c r="F30" s="5">
        <f>Download_WU!S19</f>
        <v>0.25</v>
      </c>
      <c r="G30" s="5">
        <f>Download_WU!T19</f>
        <v>0.5</v>
      </c>
      <c r="H30" s="5">
        <f>Download_WU!U19</f>
        <v>17</v>
      </c>
      <c r="I30" s="5">
        <f>Download_WU!V19</f>
        <v>0.56999999999999995</v>
      </c>
      <c r="J30" s="5">
        <f>Download_WU!W19</f>
        <v>18</v>
      </c>
      <c r="K30"/>
      <c r="L30"/>
    </row>
    <row r="31" spans="1:26">
      <c r="A31" s="21"/>
      <c r="B31" s="1"/>
      <c r="C31" s="5">
        <f>Download_WU!P20</f>
        <v>26</v>
      </c>
      <c r="D31" s="5">
        <f>Download_WU!Q20</f>
        <v>27</v>
      </c>
      <c r="E31" s="5">
        <f>Download_WU!R20</f>
        <v>0.46</v>
      </c>
      <c r="F31" s="5">
        <f>Download_WU!S20</f>
        <v>0.25</v>
      </c>
      <c r="G31" s="5">
        <f>Download_WU!T20</f>
        <v>0.5</v>
      </c>
      <c r="H31" s="5">
        <f>Download_WU!U20</f>
        <v>17</v>
      </c>
      <c r="I31" s="5">
        <f>Download_WU!V20</f>
        <v>0.59</v>
      </c>
      <c r="J31" s="5">
        <f>Download_WU!W20</f>
        <v>18</v>
      </c>
      <c r="K31"/>
      <c r="L31"/>
    </row>
    <row r="32" spans="1:26">
      <c r="A32" s="21"/>
      <c r="B32" s="1"/>
      <c r="C32" s="5">
        <f>Download_WU!P21</f>
        <v>25</v>
      </c>
      <c r="D32" s="5">
        <f>Download_WU!Q21</f>
        <v>27</v>
      </c>
      <c r="E32" s="5">
        <f>Download_WU!R21</f>
        <v>0.44</v>
      </c>
      <c r="F32" s="5">
        <f>Download_WU!S21</f>
        <v>0.24</v>
      </c>
      <c r="G32" s="5">
        <f>Download_WU!T21</f>
        <v>0.5</v>
      </c>
      <c r="H32" s="5">
        <f>Download_WU!U21</f>
        <v>17</v>
      </c>
      <c r="I32" s="5">
        <f>Download_WU!V21</f>
        <v>0.6</v>
      </c>
      <c r="J32" s="5">
        <f>Download_WU!W21</f>
        <v>19</v>
      </c>
      <c r="K32"/>
      <c r="L32"/>
    </row>
    <row r="33" spans="1:12">
      <c r="A33" s="21"/>
      <c r="B33" s="1"/>
      <c r="C33" s="5">
        <f>Download_WU!P22</f>
        <v>24</v>
      </c>
      <c r="D33" s="5">
        <f>Download_WU!Q22</f>
        <v>25</v>
      </c>
      <c r="E33" s="5">
        <f>Download_WU!R22</f>
        <v>0.54</v>
      </c>
      <c r="F33" s="5">
        <f>Download_WU!S22</f>
        <v>0.24</v>
      </c>
      <c r="G33" s="5">
        <f>Download_WU!T22</f>
        <v>0.5</v>
      </c>
      <c r="H33" s="5">
        <f>Download_WU!U22</f>
        <v>17</v>
      </c>
      <c r="I33" s="5">
        <f>Download_WU!V22</f>
        <v>0.63</v>
      </c>
      <c r="J33" s="5">
        <f>Download_WU!W22</f>
        <v>18</v>
      </c>
      <c r="K33"/>
      <c r="L33"/>
    </row>
    <row r="34" spans="1:12">
      <c r="A34" s="21"/>
      <c r="B34" s="1"/>
      <c r="C34" s="5">
        <f>Download_WU!P23</f>
        <v>23</v>
      </c>
      <c r="D34" s="5">
        <f>Download_WU!Q23</f>
        <v>23</v>
      </c>
      <c r="E34" s="5">
        <f>Download_WU!R23</f>
        <v>0.35</v>
      </c>
      <c r="F34" s="5">
        <f>Download_WU!S23</f>
        <v>0.14000000000000001</v>
      </c>
      <c r="G34" s="5">
        <f>Download_WU!T23</f>
        <v>0.5</v>
      </c>
      <c r="H34" s="5">
        <f>Download_WU!U23</f>
        <v>17</v>
      </c>
      <c r="I34" s="5">
        <f>Download_WU!V23</f>
        <v>0.69</v>
      </c>
      <c r="J34" s="5">
        <f>Download_WU!W23</f>
        <v>14</v>
      </c>
      <c r="K34"/>
      <c r="L34"/>
    </row>
    <row r="35" spans="1:12">
      <c r="A35" s="21"/>
      <c r="B35" s="1"/>
      <c r="C35" s="5">
        <f>Download_WU!P24</f>
        <v>22</v>
      </c>
      <c r="D35" s="5">
        <f>Download_WU!Q24</f>
        <v>22</v>
      </c>
      <c r="E35" s="5">
        <f>Download_WU!R24</f>
        <v>0.24</v>
      </c>
      <c r="F35" s="5">
        <f>Download_WU!S24</f>
        <v>0</v>
      </c>
      <c r="G35" s="5">
        <f>Download_WU!T24</f>
        <v>0.3</v>
      </c>
      <c r="H35" s="5">
        <f>Download_WU!U24</f>
        <v>17</v>
      </c>
      <c r="I35" s="5">
        <f>Download_WU!V24</f>
        <v>0.74</v>
      </c>
      <c r="J35" s="5">
        <f>Download_WU!W24</f>
        <v>13</v>
      </c>
      <c r="K35"/>
      <c r="L35"/>
    </row>
    <row r="36" spans="1:12">
      <c r="A36" s="21"/>
      <c r="B36" s="1"/>
      <c r="C36" s="5">
        <f>Download_WU!P25</f>
        <v>20</v>
      </c>
      <c r="D36" s="5">
        <f>Download_WU!Q25</f>
        <v>21</v>
      </c>
      <c r="E36" s="5">
        <f>Download_WU!R25</f>
        <v>0.24</v>
      </c>
      <c r="F36" s="5">
        <f>Download_WU!S25</f>
        <v>0</v>
      </c>
      <c r="G36" s="5">
        <f>Download_WU!T25</f>
        <v>0.3</v>
      </c>
      <c r="H36" s="5">
        <f>Download_WU!U25</f>
        <v>17</v>
      </c>
      <c r="I36" s="5">
        <f>Download_WU!V25</f>
        <v>0.81</v>
      </c>
      <c r="J36" s="5">
        <f>Download_WU!W25</f>
        <v>13</v>
      </c>
      <c r="K36"/>
      <c r="L36"/>
    </row>
    <row r="37" spans="1:12">
      <c r="A37" s="8">
        <v>44398</v>
      </c>
      <c r="C37" s="5">
        <f>Download_WU!P26</f>
        <v>20</v>
      </c>
      <c r="D37" s="5">
        <f>Download_WU!Q26</f>
        <v>20</v>
      </c>
      <c r="E37" s="5">
        <f>Download_WU!R26</f>
        <v>0.21</v>
      </c>
      <c r="F37" s="5">
        <f>Download_WU!S26</f>
        <v>0</v>
      </c>
      <c r="G37" s="5">
        <f>Download_WU!T26</f>
        <v>0.33</v>
      </c>
      <c r="H37" s="5">
        <f>Download_WU!U26</f>
        <v>17</v>
      </c>
      <c r="I37" s="5">
        <f>Download_WU!V26</f>
        <v>0.86</v>
      </c>
      <c r="J37" s="5">
        <f>Download_WU!W26</f>
        <v>13</v>
      </c>
    </row>
    <row r="38" spans="1:12">
      <c r="C38" s="5">
        <f>Download_WU!P27</f>
        <v>19</v>
      </c>
      <c r="D38" s="5">
        <f>Download_WU!Q27</f>
        <v>19</v>
      </c>
      <c r="E38" s="5">
        <f>Download_WU!R27</f>
        <v>0.23</v>
      </c>
      <c r="F38" s="5">
        <f>Download_WU!S27</f>
        <v>0</v>
      </c>
      <c r="G38" s="5">
        <f>Download_WU!T27</f>
        <v>0.38</v>
      </c>
      <c r="H38" s="5">
        <f>Download_WU!U27</f>
        <v>17</v>
      </c>
      <c r="I38" s="5">
        <f>Download_WU!V27</f>
        <v>0.87</v>
      </c>
      <c r="J38" s="5">
        <f>Download_WU!W27</f>
        <v>14</v>
      </c>
    </row>
    <row r="39" spans="1:12">
      <c r="C39" s="5">
        <f>Download_WU!P28</f>
        <v>18</v>
      </c>
      <c r="D39" s="5">
        <f>Download_WU!Q28</f>
        <v>18</v>
      </c>
      <c r="E39" s="5">
        <f>Download_WU!R28</f>
        <v>0.23</v>
      </c>
      <c r="F39" s="5">
        <f>Download_WU!S28</f>
        <v>0</v>
      </c>
      <c r="G39" s="5">
        <f>Download_WU!T28</f>
        <v>0.36</v>
      </c>
      <c r="H39" s="5">
        <f>Download_WU!U28</f>
        <v>17</v>
      </c>
      <c r="I39" s="5">
        <f>Download_WU!V28</f>
        <v>0.9</v>
      </c>
      <c r="J39" s="5">
        <f>Download_WU!W28</f>
        <v>13</v>
      </c>
    </row>
    <row r="40" spans="1:12">
      <c r="C40" s="5">
        <f>Download_WU!P29</f>
        <v>18</v>
      </c>
      <c r="D40" s="5">
        <f>Download_WU!Q29</f>
        <v>18</v>
      </c>
      <c r="E40" s="5">
        <f>Download_WU!R29</f>
        <v>0.14000000000000001</v>
      </c>
      <c r="F40" s="5">
        <f>Download_WU!S29</f>
        <v>0</v>
      </c>
      <c r="G40" s="5">
        <f>Download_WU!T29</f>
        <v>0.37</v>
      </c>
      <c r="H40" s="5">
        <f>Download_WU!U29</f>
        <v>16</v>
      </c>
      <c r="I40" s="5">
        <f>Download_WU!V29</f>
        <v>0.88</v>
      </c>
      <c r="J40" s="5">
        <f>Download_WU!W29</f>
        <v>14</v>
      </c>
    </row>
    <row r="41" spans="1:12">
      <c r="C41" s="5">
        <f>Download_WU!P30</f>
        <v>18</v>
      </c>
      <c r="D41" s="5">
        <f>Download_WU!Q30</f>
        <v>18</v>
      </c>
      <c r="E41" s="5">
        <f>Download_WU!R30</f>
        <v>0.14000000000000001</v>
      </c>
      <c r="F41" s="5">
        <f>Download_WU!S30</f>
        <v>0</v>
      </c>
      <c r="G41" s="5">
        <f>Download_WU!T30</f>
        <v>0.36</v>
      </c>
      <c r="H41" s="5">
        <f>Download_WU!U30</f>
        <v>16</v>
      </c>
      <c r="I41" s="5">
        <f>Download_WU!V30</f>
        <v>0.9</v>
      </c>
      <c r="J41" s="5">
        <f>Download_WU!W30</f>
        <v>13</v>
      </c>
    </row>
    <row r="42" spans="1:12">
      <c r="C42" s="5">
        <f>Download_WU!P31</f>
        <v>17</v>
      </c>
      <c r="D42" s="5">
        <f>Download_WU!Q31</f>
        <v>17</v>
      </c>
      <c r="E42" s="5">
        <f>Download_WU!R31</f>
        <v>0.14000000000000001</v>
      </c>
      <c r="F42" s="5">
        <f>Download_WU!S31</f>
        <v>0</v>
      </c>
      <c r="G42" s="5">
        <f>Download_WU!T31</f>
        <v>0.34</v>
      </c>
      <c r="H42" s="5">
        <f>Download_WU!U31</f>
        <v>16</v>
      </c>
      <c r="I42" s="5">
        <f>Download_WU!V31</f>
        <v>0.9</v>
      </c>
      <c r="J42" s="5">
        <f>Download_WU!W31</f>
        <v>12</v>
      </c>
    </row>
    <row r="43" spans="1:12">
      <c r="C43" s="5">
        <f>Download_WU!P32</f>
        <v>17</v>
      </c>
      <c r="D43" s="5">
        <f>Download_WU!Q32</f>
        <v>17</v>
      </c>
      <c r="E43" s="5">
        <f>Download_WU!R32</f>
        <v>0.14000000000000001</v>
      </c>
      <c r="F43" s="5">
        <f>Download_WU!S32</f>
        <v>0</v>
      </c>
      <c r="G43" s="5">
        <f>Download_WU!T32</f>
        <v>0.3</v>
      </c>
      <c r="H43" s="5">
        <f>Download_WU!U32</f>
        <v>15</v>
      </c>
      <c r="I43" s="5">
        <f>Download_WU!V32</f>
        <v>0.9</v>
      </c>
      <c r="J43" s="5">
        <f>Download_WU!W32</f>
        <v>11</v>
      </c>
    </row>
    <row r="44" spans="1:12">
      <c r="C44" s="5">
        <f>Download_WU!P33</f>
        <v>17</v>
      </c>
      <c r="D44" s="5">
        <f>Download_WU!Q33</f>
        <v>16</v>
      </c>
      <c r="E44" s="5">
        <f>Download_WU!R33</f>
        <v>0.12</v>
      </c>
      <c r="F44" s="5">
        <f>Download_WU!S33</f>
        <v>0</v>
      </c>
      <c r="G44" s="5">
        <f>Download_WU!T33</f>
        <v>0.27</v>
      </c>
      <c r="H44" s="5">
        <f>Download_WU!U33</f>
        <v>15</v>
      </c>
      <c r="I44" s="5">
        <f>Download_WU!V33</f>
        <v>0.88</v>
      </c>
      <c r="J44" s="5">
        <f>Download_WU!W33</f>
        <v>12</v>
      </c>
    </row>
    <row r="45" spans="1:12">
      <c r="C45" s="5">
        <f>Download_WU!P34</f>
        <v>18</v>
      </c>
      <c r="D45" s="5">
        <f>Download_WU!Q34</f>
        <v>18</v>
      </c>
      <c r="E45" s="5">
        <f>Download_WU!R34</f>
        <v>0.09</v>
      </c>
      <c r="F45" s="5">
        <f>Download_WU!S34</f>
        <v>0</v>
      </c>
      <c r="G45" s="5">
        <f>Download_WU!T34</f>
        <v>0.21</v>
      </c>
      <c r="H45" s="5">
        <f>Download_WU!U34</f>
        <v>15</v>
      </c>
      <c r="I45" s="5">
        <f>Download_WU!V34</f>
        <v>0.82</v>
      </c>
      <c r="J45" s="5">
        <f>Download_WU!W34</f>
        <v>14</v>
      </c>
    </row>
    <row r="46" spans="1:12">
      <c r="C46" s="5">
        <f>Download_WU!P35</f>
        <v>19</v>
      </c>
      <c r="D46" s="5">
        <f>Download_WU!Q35</f>
        <v>19</v>
      </c>
      <c r="E46" s="5">
        <f>Download_WU!R35</f>
        <v>0.05</v>
      </c>
      <c r="F46" s="5">
        <f>Download_WU!S35</f>
        <v>0</v>
      </c>
      <c r="G46" s="5">
        <f>Download_WU!T35</f>
        <v>0.13</v>
      </c>
      <c r="H46" s="5">
        <f>Download_WU!U35</f>
        <v>14</v>
      </c>
      <c r="I46" s="5">
        <f>Download_WU!V35</f>
        <v>0.73</v>
      </c>
      <c r="J46" s="5">
        <f>Download_WU!W35</f>
        <v>16</v>
      </c>
    </row>
    <row r="47" spans="1:12">
      <c r="C47" s="5">
        <f>Download_WU!P36</f>
        <v>21</v>
      </c>
      <c r="D47" s="5">
        <f>Download_WU!Q36</f>
        <v>21</v>
      </c>
      <c r="E47" s="5">
        <f>Download_WU!R36</f>
        <v>0.02</v>
      </c>
      <c r="F47" s="5">
        <f>Download_WU!S36</f>
        <v>0</v>
      </c>
      <c r="G47" s="5">
        <f>Download_WU!T36</f>
        <v>0.1</v>
      </c>
      <c r="H47" s="5">
        <f>Download_WU!U36</f>
        <v>13</v>
      </c>
      <c r="I47" s="5">
        <f>Download_WU!V36</f>
        <v>0.63</v>
      </c>
      <c r="J47" s="5">
        <f>Download_WU!W36</f>
        <v>19</v>
      </c>
    </row>
    <row r="48" spans="1:12">
      <c r="C48" s="5">
        <f>Download_WU!P37</f>
        <v>22</v>
      </c>
      <c r="D48" s="5">
        <f>Download_WU!Q37</f>
        <v>22</v>
      </c>
      <c r="E48" s="5">
        <f>Download_WU!R37</f>
        <v>0</v>
      </c>
      <c r="F48" s="5">
        <f>Download_WU!S37</f>
        <v>0</v>
      </c>
      <c r="G48" s="5">
        <f>Download_WU!T37</f>
        <v>7.0000000000000007E-2</v>
      </c>
      <c r="H48" s="5">
        <f>Download_WU!U37</f>
        <v>12</v>
      </c>
      <c r="I48" s="5">
        <f>Download_WU!V37</f>
        <v>0.54</v>
      </c>
      <c r="J48" s="5">
        <f>Download_WU!W37</f>
        <v>19</v>
      </c>
    </row>
    <row r="49" spans="1:10">
      <c r="C49" s="5">
        <f>Download_WU!P38</f>
        <v>23</v>
      </c>
      <c r="D49" s="5">
        <f>Download_WU!Q38</f>
        <v>23</v>
      </c>
      <c r="E49" s="5">
        <f>Download_WU!R38</f>
        <v>0</v>
      </c>
      <c r="F49" s="5">
        <f>Download_WU!S38</f>
        <v>0</v>
      </c>
      <c r="G49" s="5">
        <f>Download_WU!T38</f>
        <v>0.05</v>
      </c>
      <c r="H49" s="5">
        <f>Download_WU!U38</f>
        <v>11</v>
      </c>
      <c r="I49" s="5">
        <f>Download_WU!V38</f>
        <v>0.47</v>
      </c>
      <c r="J49" s="5">
        <f>Download_WU!W38</f>
        <v>22</v>
      </c>
    </row>
    <row r="50" spans="1:10">
      <c r="C50" s="5">
        <f>Download_WU!P39</f>
        <v>24</v>
      </c>
      <c r="D50" s="5">
        <f>Download_WU!Q39</f>
        <v>24</v>
      </c>
      <c r="E50" s="5">
        <f>Download_WU!R39</f>
        <v>0</v>
      </c>
      <c r="F50" s="5">
        <f>Download_WU!S39</f>
        <v>0</v>
      </c>
      <c r="G50" s="5">
        <f>Download_WU!T39</f>
        <v>0.05</v>
      </c>
      <c r="H50" s="5">
        <f>Download_WU!U39</f>
        <v>11</v>
      </c>
      <c r="I50" s="5">
        <f>Download_WU!V39</f>
        <v>0.42</v>
      </c>
      <c r="J50" s="5">
        <f>Download_WU!W39</f>
        <v>23</v>
      </c>
    </row>
    <row r="51" spans="1:10">
      <c r="C51" s="5">
        <f>Download_WU!P40</f>
        <v>25</v>
      </c>
      <c r="D51" s="5">
        <f>Download_WU!Q40</f>
        <v>25</v>
      </c>
      <c r="E51" s="5">
        <f>Download_WU!R40</f>
        <v>0</v>
      </c>
      <c r="F51" s="5">
        <f>Download_WU!S40</f>
        <v>0</v>
      </c>
      <c r="G51" s="5">
        <f>Download_WU!T40</f>
        <v>0.05</v>
      </c>
      <c r="H51" s="5">
        <f>Download_WU!U40</f>
        <v>10</v>
      </c>
      <c r="I51" s="5">
        <f>Download_WU!V40</f>
        <v>0.39</v>
      </c>
      <c r="J51" s="5">
        <f>Download_WU!W40</f>
        <v>23</v>
      </c>
    </row>
    <row r="52" spans="1:10">
      <c r="C52" s="5">
        <f>Download_WU!P41</f>
        <v>25</v>
      </c>
      <c r="D52" s="5">
        <f>Download_WU!Q41</f>
        <v>25</v>
      </c>
      <c r="E52" s="5">
        <f>Download_WU!R41</f>
        <v>0</v>
      </c>
      <c r="F52" s="5">
        <f>Download_WU!S41</f>
        <v>0</v>
      </c>
      <c r="G52" s="5">
        <f>Download_WU!T41</f>
        <v>0.05</v>
      </c>
      <c r="H52" s="5">
        <f>Download_WU!U41</f>
        <v>10</v>
      </c>
      <c r="I52" s="5">
        <f>Download_WU!V41</f>
        <v>0.39</v>
      </c>
      <c r="J52" s="5">
        <f>Download_WU!W41</f>
        <v>23</v>
      </c>
    </row>
    <row r="53" spans="1:10">
      <c r="C53" s="5">
        <f>Download_WU!P42</f>
        <v>26</v>
      </c>
      <c r="D53" s="5">
        <f>Download_WU!Q42</f>
        <v>26</v>
      </c>
      <c r="E53" s="5">
        <f>Download_WU!R42</f>
        <v>0</v>
      </c>
      <c r="F53" s="5">
        <f>Download_WU!S42</f>
        <v>0</v>
      </c>
      <c r="G53" s="5">
        <f>Download_WU!T42</f>
        <v>0.09</v>
      </c>
      <c r="H53" s="5">
        <f>Download_WU!U42</f>
        <v>10</v>
      </c>
      <c r="I53" s="5">
        <f>Download_WU!V42</f>
        <v>0.38</v>
      </c>
      <c r="J53" s="5">
        <f>Download_WU!W42</f>
        <v>23</v>
      </c>
    </row>
    <row r="54" spans="1:10">
      <c r="C54" s="5">
        <f>Download_WU!P43</f>
        <v>25</v>
      </c>
      <c r="D54" s="5">
        <f>Download_WU!Q43</f>
        <v>25</v>
      </c>
      <c r="E54" s="5">
        <f>Download_WU!R43</f>
        <v>0</v>
      </c>
      <c r="F54" s="5">
        <f>Download_WU!S43</f>
        <v>0</v>
      </c>
      <c r="G54" s="5">
        <f>Download_WU!T43</f>
        <v>0.13</v>
      </c>
      <c r="H54" s="5">
        <f>Download_WU!U43</f>
        <v>10</v>
      </c>
      <c r="I54" s="5">
        <f>Download_WU!V43</f>
        <v>0.4</v>
      </c>
      <c r="J54" s="5">
        <f>Download_WU!W43</f>
        <v>24</v>
      </c>
    </row>
    <row r="55" spans="1:10">
      <c r="C55" s="5">
        <f>Download_WU!P44</f>
        <v>24</v>
      </c>
      <c r="D55" s="5">
        <f>Download_WU!Q44</f>
        <v>24</v>
      </c>
      <c r="E55" s="5">
        <f>Download_WU!R44</f>
        <v>0</v>
      </c>
      <c r="F55" s="5">
        <f>Download_WU!S44</f>
        <v>0</v>
      </c>
      <c r="G55" s="5">
        <f>Download_WU!T44</f>
        <v>0.16</v>
      </c>
      <c r="H55" s="5">
        <f>Download_WU!U44</f>
        <v>11</v>
      </c>
      <c r="I55" s="5">
        <f>Download_WU!V44</f>
        <v>0.42</v>
      </c>
      <c r="J55" s="5">
        <f>Download_WU!W44</f>
        <v>22</v>
      </c>
    </row>
    <row r="56" spans="1:10">
      <c r="C56" s="5">
        <f>Download_WU!P45</f>
        <v>24</v>
      </c>
      <c r="D56" s="5">
        <f>Download_WU!Q45</f>
        <v>24</v>
      </c>
      <c r="E56" s="5">
        <f>Download_WU!R45</f>
        <v>0</v>
      </c>
      <c r="F56" s="5">
        <f>Download_WU!S45</f>
        <v>0</v>
      </c>
      <c r="G56" s="5">
        <f>Download_WU!T45</f>
        <v>0.16</v>
      </c>
      <c r="H56" s="5">
        <f>Download_WU!U45</f>
        <v>11</v>
      </c>
      <c r="I56" s="5">
        <f>Download_WU!V45</f>
        <v>0.44</v>
      </c>
      <c r="J56" s="5">
        <f>Download_WU!W45</f>
        <v>21</v>
      </c>
    </row>
    <row r="57" spans="1:10">
      <c r="C57" s="5">
        <f>Download_WU!P46</f>
        <v>23</v>
      </c>
      <c r="D57" s="5">
        <f>Download_WU!Q46</f>
        <v>23</v>
      </c>
      <c r="E57" s="5">
        <f>Download_WU!R46</f>
        <v>0</v>
      </c>
      <c r="F57" s="5">
        <f>Download_WU!S46</f>
        <v>0</v>
      </c>
      <c r="G57" s="5">
        <f>Download_WU!T46</f>
        <v>0.13</v>
      </c>
      <c r="H57" s="5">
        <f>Download_WU!U46</f>
        <v>11</v>
      </c>
      <c r="I57" s="5">
        <f>Download_WU!V46</f>
        <v>0.46</v>
      </c>
      <c r="J57" s="5">
        <f>Download_WU!W46</f>
        <v>18</v>
      </c>
    </row>
    <row r="58" spans="1:10">
      <c r="C58" s="5">
        <f>Download_WU!P47</f>
        <v>21</v>
      </c>
      <c r="D58" s="5">
        <f>Download_WU!Q47</f>
        <v>21</v>
      </c>
      <c r="E58" s="5">
        <f>Download_WU!R47</f>
        <v>0.02</v>
      </c>
      <c r="F58" s="5">
        <f>Download_WU!S47</f>
        <v>0</v>
      </c>
      <c r="G58" s="5">
        <f>Download_WU!T47</f>
        <v>0.1</v>
      </c>
      <c r="H58" s="5">
        <f>Download_WU!U47</f>
        <v>11</v>
      </c>
      <c r="I58" s="5">
        <f>Download_WU!V47</f>
        <v>0.52</v>
      </c>
      <c r="J58" s="5">
        <f>Download_WU!W47</f>
        <v>14</v>
      </c>
    </row>
    <row r="59" spans="1:10">
      <c r="C59" s="5">
        <f>Download_WU!P48</f>
        <v>20</v>
      </c>
      <c r="D59" s="5">
        <f>Download_WU!Q48</f>
        <v>20</v>
      </c>
      <c r="E59" s="5">
        <f>Download_WU!R48</f>
        <v>0.04</v>
      </c>
      <c r="F59" s="5">
        <f>Download_WU!S48</f>
        <v>0</v>
      </c>
      <c r="G59" s="5">
        <f>Download_WU!T48</f>
        <v>0.1</v>
      </c>
      <c r="H59" s="5">
        <f>Download_WU!U48</f>
        <v>11</v>
      </c>
      <c r="I59" s="5">
        <f>Download_WU!V48</f>
        <v>0.59</v>
      </c>
      <c r="J59" s="5">
        <f>Download_WU!W48</f>
        <v>13</v>
      </c>
    </row>
    <row r="60" spans="1:10">
      <c r="C60" s="5">
        <f>Download_WU!P49</f>
        <v>18</v>
      </c>
      <c r="D60" s="5">
        <f>Download_WU!Q49</f>
        <v>18</v>
      </c>
      <c r="E60" s="5">
        <f>Download_WU!R49</f>
        <v>0.05</v>
      </c>
      <c r="F60" s="5">
        <f>Download_WU!S49</f>
        <v>0</v>
      </c>
      <c r="G60" s="5">
        <f>Download_WU!T49</f>
        <v>7.0000000000000007E-2</v>
      </c>
      <c r="H60" s="5">
        <f>Download_WU!U49</f>
        <v>12</v>
      </c>
      <c r="I60" s="5">
        <f>Download_WU!V49</f>
        <v>0.66</v>
      </c>
      <c r="J60" s="5">
        <f>Download_WU!W49</f>
        <v>12</v>
      </c>
    </row>
    <row r="61" spans="1:10">
      <c r="A61" s="8">
        <v>44399</v>
      </c>
      <c r="C61" s="5">
        <f>Download_WU!P50</f>
        <v>17</v>
      </c>
      <c r="D61" s="5">
        <f>Download_WU!Q50</f>
        <v>17</v>
      </c>
      <c r="E61" s="5">
        <f>Download_WU!R50</f>
        <v>7.0000000000000007E-2</v>
      </c>
      <c r="F61" s="5">
        <f>Download_WU!S50</f>
        <v>0</v>
      </c>
      <c r="G61" s="5">
        <f>Download_WU!T50</f>
        <v>0.06</v>
      </c>
      <c r="H61" s="5">
        <f>Download_WU!U50</f>
        <v>12</v>
      </c>
      <c r="I61" s="5">
        <f>Download_WU!V50</f>
        <v>0.72</v>
      </c>
      <c r="J61" s="5">
        <f>Download_WU!W50</f>
        <v>11</v>
      </c>
    </row>
    <row r="62" spans="1:10">
      <c r="C62" s="5">
        <f>Download_WU!P51</f>
        <v>16</v>
      </c>
      <c r="D62" s="5">
        <f>Download_WU!Q51</f>
        <v>16</v>
      </c>
      <c r="E62" s="5">
        <f>Download_WU!R51</f>
        <v>0.09</v>
      </c>
      <c r="F62" s="5">
        <f>Download_WU!S51</f>
        <v>0</v>
      </c>
      <c r="G62" s="5">
        <f>Download_WU!T51</f>
        <v>0.06</v>
      </c>
      <c r="H62" s="5">
        <f>Download_WU!U51</f>
        <v>12</v>
      </c>
      <c r="I62" s="5">
        <f>Download_WU!V51</f>
        <v>0.76</v>
      </c>
      <c r="J62" s="5">
        <f>Download_WU!W51</f>
        <v>10</v>
      </c>
    </row>
    <row r="63" spans="1:10">
      <c r="C63" s="5">
        <f>Download_WU!P52</f>
        <v>15</v>
      </c>
      <c r="D63" s="5">
        <f>Download_WU!Q52</f>
        <v>15</v>
      </c>
      <c r="E63" s="5">
        <f>Download_WU!R52</f>
        <v>0.11</v>
      </c>
      <c r="F63" s="5">
        <f>Download_WU!S52</f>
        <v>0</v>
      </c>
      <c r="G63" s="5">
        <f>Download_WU!T52</f>
        <v>7.0000000000000007E-2</v>
      </c>
      <c r="H63" s="5">
        <f>Download_WU!U52</f>
        <v>12</v>
      </c>
      <c r="I63" s="5">
        <f>Download_WU!V52</f>
        <v>0.8</v>
      </c>
      <c r="J63" s="5">
        <f>Download_WU!W52</f>
        <v>10</v>
      </c>
    </row>
    <row r="64" spans="1:10">
      <c r="C64" s="5">
        <f>Download_WU!P53</f>
        <v>15</v>
      </c>
      <c r="D64" s="5">
        <f>Download_WU!Q53</f>
        <v>14</v>
      </c>
      <c r="E64" s="5">
        <f>Download_WU!R53</f>
        <v>0.19</v>
      </c>
      <c r="F64" s="5">
        <f>Download_WU!S53</f>
        <v>0</v>
      </c>
      <c r="G64" s="5">
        <f>Download_WU!T53</f>
        <v>0.08</v>
      </c>
      <c r="H64" s="5">
        <f>Download_WU!U53</f>
        <v>12</v>
      </c>
      <c r="I64" s="5">
        <f>Download_WU!V53</f>
        <v>0.83</v>
      </c>
      <c r="J64" s="5">
        <f>Download_WU!W53</f>
        <v>9</v>
      </c>
    </row>
    <row r="65" spans="3:10">
      <c r="C65" s="5">
        <f>Download_WU!P54</f>
        <v>14</v>
      </c>
      <c r="D65" s="5">
        <f>Download_WU!Q54</f>
        <v>14</v>
      </c>
      <c r="E65" s="5">
        <f>Download_WU!R54</f>
        <v>0.19</v>
      </c>
      <c r="F65" s="5">
        <f>Download_WU!S54</f>
        <v>0</v>
      </c>
      <c r="G65" s="5">
        <f>Download_WU!T54</f>
        <v>0.09</v>
      </c>
      <c r="H65" s="5">
        <f>Download_WU!U54</f>
        <v>12</v>
      </c>
      <c r="I65" s="5">
        <f>Download_WU!V54</f>
        <v>0.86</v>
      </c>
      <c r="J65" s="5">
        <f>Download_WU!W54</f>
        <v>8</v>
      </c>
    </row>
    <row r="66" spans="3:10">
      <c r="C66" s="5">
        <f>Download_WU!P55</f>
        <v>14</v>
      </c>
      <c r="D66" s="5">
        <f>Download_WU!Q55</f>
        <v>14</v>
      </c>
      <c r="E66" s="5">
        <f>Download_WU!R55</f>
        <v>0.21</v>
      </c>
      <c r="F66" s="5">
        <f>Download_WU!S55</f>
        <v>0</v>
      </c>
      <c r="G66" s="5">
        <f>Download_WU!T55</f>
        <v>0.1</v>
      </c>
      <c r="H66" s="5">
        <f>Download_WU!U55</f>
        <v>12</v>
      </c>
      <c r="I66" s="5">
        <f>Download_WU!V55</f>
        <v>0.89</v>
      </c>
      <c r="J66" s="5">
        <f>Download_WU!W55</f>
        <v>7</v>
      </c>
    </row>
    <row r="67" spans="3:10">
      <c r="C67" s="5">
        <f>Download_WU!P56</f>
        <v>14</v>
      </c>
      <c r="D67" s="5">
        <f>Download_WU!Q56</f>
        <v>13</v>
      </c>
      <c r="E67" s="5">
        <f>Download_WU!R56</f>
        <v>0.19</v>
      </c>
      <c r="F67" s="5">
        <f>Download_WU!S56</f>
        <v>0</v>
      </c>
      <c r="G67" s="5">
        <f>Download_WU!T56</f>
        <v>0.12</v>
      </c>
      <c r="H67" s="5">
        <f>Download_WU!U56</f>
        <v>12</v>
      </c>
      <c r="I67" s="5">
        <f>Download_WU!V56</f>
        <v>0.89</v>
      </c>
      <c r="J67" s="5">
        <f>Download_WU!W56</f>
        <v>7</v>
      </c>
    </row>
    <row r="68" spans="3:10">
      <c r="C68" s="5">
        <f>Download_WU!P57</f>
        <v>14</v>
      </c>
      <c r="D68" s="5">
        <f>Download_WU!Q57</f>
        <v>14</v>
      </c>
      <c r="E68" s="5">
        <f>Download_WU!R57</f>
        <v>0.18</v>
      </c>
      <c r="F68" s="5">
        <f>Download_WU!S57</f>
        <v>0</v>
      </c>
      <c r="G68" s="5">
        <f>Download_WU!T57</f>
        <v>0.12</v>
      </c>
      <c r="H68" s="5">
        <f>Download_WU!U57</f>
        <v>12</v>
      </c>
      <c r="I68" s="5">
        <f>Download_WU!V57</f>
        <v>0.86</v>
      </c>
      <c r="J68" s="5">
        <f>Download_WU!W57</f>
        <v>7</v>
      </c>
    </row>
    <row r="69" spans="3:10">
      <c r="C69" s="5">
        <f>Download_WU!P58</f>
        <v>16</v>
      </c>
      <c r="D69" s="5">
        <f>Download_WU!Q58</f>
        <v>16</v>
      </c>
      <c r="E69" s="5">
        <f>Download_WU!R58</f>
        <v>0.14000000000000001</v>
      </c>
      <c r="F69" s="5">
        <f>Download_WU!S58</f>
        <v>0</v>
      </c>
      <c r="G69" s="5">
        <f>Download_WU!T58</f>
        <v>0.12</v>
      </c>
      <c r="H69" s="5">
        <f>Download_WU!U58</f>
        <v>12</v>
      </c>
      <c r="I69" s="5">
        <f>Download_WU!V58</f>
        <v>0.8</v>
      </c>
      <c r="J69" s="5">
        <f>Download_WU!W58</f>
        <v>8</v>
      </c>
    </row>
    <row r="70" spans="3:10">
      <c r="C70" s="5">
        <f>Download_WU!P59</f>
        <v>18</v>
      </c>
      <c r="D70" s="5">
        <f>Download_WU!Q59</f>
        <v>18</v>
      </c>
      <c r="E70" s="5">
        <f>Download_WU!R59</f>
        <v>0.19</v>
      </c>
      <c r="F70" s="5">
        <f>Download_WU!S59</f>
        <v>0</v>
      </c>
      <c r="G70" s="5">
        <f>Download_WU!T59</f>
        <v>0.14000000000000001</v>
      </c>
      <c r="H70" s="5">
        <f>Download_WU!U59</f>
        <v>12</v>
      </c>
      <c r="I70" s="5">
        <f>Download_WU!V59</f>
        <v>0.71</v>
      </c>
      <c r="J70" s="5">
        <f>Download_WU!W59</f>
        <v>8</v>
      </c>
    </row>
    <row r="71" spans="3:10">
      <c r="C71" s="5">
        <f>Download_WU!P60</f>
        <v>20</v>
      </c>
      <c r="D71" s="5">
        <f>Download_WU!Q60</f>
        <v>20</v>
      </c>
      <c r="E71" s="5">
        <f>Download_WU!R60</f>
        <v>0.16</v>
      </c>
      <c r="F71" s="5">
        <f>Download_WU!S60</f>
        <v>0</v>
      </c>
      <c r="G71" s="5">
        <f>Download_WU!T60</f>
        <v>0.2</v>
      </c>
      <c r="H71" s="5">
        <f>Download_WU!U60</f>
        <v>12</v>
      </c>
      <c r="I71" s="5">
        <f>Download_WU!V60</f>
        <v>0.62</v>
      </c>
      <c r="J71" s="5">
        <f>Download_WU!W60</f>
        <v>9</v>
      </c>
    </row>
    <row r="72" spans="3:10">
      <c r="C72" s="5">
        <f>Download_WU!P61</f>
        <v>22</v>
      </c>
      <c r="D72" s="5">
        <f>Download_WU!Q61</f>
        <v>22</v>
      </c>
      <c r="E72" s="5">
        <f>Download_WU!R61</f>
        <v>0.12</v>
      </c>
      <c r="F72" s="5">
        <f>Download_WU!S61</f>
        <v>0</v>
      </c>
      <c r="G72" s="5">
        <f>Download_WU!T61</f>
        <v>0.28999999999999998</v>
      </c>
      <c r="H72" s="5">
        <f>Download_WU!U61</f>
        <v>12</v>
      </c>
      <c r="I72" s="5">
        <f>Download_WU!V61</f>
        <v>0.55000000000000004</v>
      </c>
      <c r="J72" s="5">
        <f>Download_WU!W61</f>
        <v>8</v>
      </c>
    </row>
    <row r="73" spans="3:10">
      <c r="C73" s="5">
        <f>Download_WU!P62</f>
        <v>23</v>
      </c>
      <c r="D73" s="5">
        <f>Download_WU!Q62</f>
        <v>23</v>
      </c>
      <c r="E73" s="5">
        <f>Download_WU!R62</f>
        <v>0.04</v>
      </c>
      <c r="F73" s="5">
        <f>Download_WU!S62</f>
        <v>0</v>
      </c>
      <c r="G73" s="5">
        <f>Download_WU!T62</f>
        <v>0.37</v>
      </c>
      <c r="H73" s="5">
        <f>Download_WU!U62</f>
        <v>12</v>
      </c>
      <c r="I73" s="5">
        <f>Download_WU!V62</f>
        <v>0.49</v>
      </c>
      <c r="J73" s="5">
        <f>Download_WU!W62</f>
        <v>10</v>
      </c>
    </row>
    <row r="74" spans="3:10">
      <c r="C74" s="5">
        <f>Download_WU!P63</f>
        <v>25</v>
      </c>
      <c r="D74" s="5">
        <f>Download_WU!Q63</f>
        <v>25</v>
      </c>
      <c r="E74" s="5">
        <f>Download_WU!R63</f>
        <v>0.04</v>
      </c>
      <c r="F74" s="5">
        <f>Download_WU!S63</f>
        <v>0</v>
      </c>
      <c r="G74" s="5">
        <f>Download_WU!T63</f>
        <v>0.41</v>
      </c>
      <c r="H74" s="5">
        <f>Download_WU!U63</f>
        <v>12</v>
      </c>
      <c r="I74" s="5">
        <f>Download_WU!V63</f>
        <v>0.44</v>
      </c>
      <c r="J74" s="5">
        <f>Download_WU!W63</f>
        <v>10</v>
      </c>
    </row>
    <row r="75" spans="3:10">
      <c r="C75" s="5">
        <f>Download_WU!P64</f>
        <v>26</v>
      </c>
      <c r="D75" s="5">
        <f>Download_WU!Q64</f>
        <v>26</v>
      </c>
      <c r="E75" s="5">
        <f>Download_WU!R64</f>
        <v>0.04</v>
      </c>
      <c r="F75" s="5">
        <f>Download_WU!S64</f>
        <v>0</v>
      </c>
      <c r="G75" s="5">
        <f>Download_WU!T64</f>
        <v>0.44</v>
      </c>
      <c r="H75" s="5">
        <f>Download_WU!U64</f>
        <v>11</v>
      </c>
      <c r="I75" s="5">
        <f>Download_WU!V64</f>
        <v>0.4</v>
      </c>
      <c r="J75" s="5">
        <f>Download_WU!W64</f>
        <v>12</v>
      </c>
    </row>
    <row r="76" spans="3:10">
      <c r="C76" s="5">
        <f>Download_WU!P65</f>
        <v>26</v>
      </c>
      <c r="D76" s="5">
        <f>Download_WU!Q65</f>
        <v>26</v>
      </c>
      <c r="E76" s="5">
        <f>Download_WU!R65</f>
        <v>0</v>
      </c>
      <c r="F76" s="5">
        <f>Download_WU!S65</f>
        <v>0</v>
      </c>
      <c r="G76" s="5">
        <f>Download_WU!T65</f>
        <v>0.48</v>
      </c>
      <c r="H76" s="5">
        <f>Download_WU!U65</f>
        <v>11</v>
      </c>
      <c r="I76" s="5">
        <f>Download_WU!V65</f>
        <v>0.4</v>
      </c>
      <c r="J76" s="5">
        <f>Download_WU!W65</f>
        <v>13</v>
      </c>
    </row>
    <row r="77" spans="3:10">
      <c r="C77" s="5">
        <f>Download_WU!P66</f>
        <v>26</v>
      </c>
      <c r="D77" s="5">
        <f>Download_WU!Q66</f>
        <v>27</v>
      </c>
      <c r="E77" s="5">
        <f>Download_WU!R66</f>
        <v>0</v>
      </c>
      <c r="F77" s="5">
        <f>Download_WU!S66</f>
        <v>0</v>
      </c>
      <c r="G77" s="5">
        <f>Download_WU!T66</f>
        <v>0.48</v>
      </c>
      <c r="H77" s="5">
        <f>Download_WU!U66</f>
        <v>12</v>
      </c>
      <c r="I77" s="5">
        <f>Download_WU!V66</f>
        <v>0.4</v>
      </c>
      <c r="J77" s="5">
        <f>Download_WU!W66</f>
        <v>14</v>
      </c>
    </row>
    <row r="78" spans="3:10">
      <c r="C78" s="5">
        <f>Download_WU!P67</f>
        <v>26</v>
      </c>
      <c r="D78" s="5">
        <f>Download_WU!Q67</f>
        <v>26</v>
      </c>
      <c r="E78" s="5">
        <f>Download_WU!R67</f>
        <v>0</v>
      </c>
      <c r="F78" s="5">
        <f>Download_WU!S67</f>
        <v>0</v>
      </c>
      <c r="G78" s="5">
        <f>Download_WU!T67</f>
        <v>0.45</v>
      </c>
      <c r="H78" s="5">
        <f>Download_WU!U67</f>
        <v>11</v>
      </c>
      <c r="I78" s="5">
        <f>Download_WU!V67</f>
        <v>0.39</v>
      </c>
      <c r="J78" s="5">
        <f>Download_WU!W67</f>
        <v>15</v>
      </c>
    </row>
    <row r="79" spans="3:10">
      <c r="C79" s="5">
        <f>Download_WU!P68</f>
        <v>26</v>
      </c>
      <c r="D79" s="5">
        <f>Download_WU!Q68</f>
        <v>26</v>
      </c>
      <c r="E79" s="5">
        <f>Download_WU!R68</f>
        <v>0</v>
      </c>
      <c r="F79" s="5">
        <f>Download_WU!S68</f>
        <v>0</v>
      </c>
      <c r="G79" s="5">
        <f>Download_WU!T68</f>
        <v>0.47</v>
      </c>
      <c r="H79" s="5">
        <f>Download_WU!U68</f>
        <v>11</v>
      </c>
      <c r="I79" s="5">
        <f>Download_WU!V68</f>
        <v>0.4</v>
      </c>
      <c r="J79" s="5">
        <f>Download_WU!W68</f>
        <v>15</v>
      </c>
    </row>
    <row r="80" spans="3:10">
      <c r="C80" s="5">
        <f>Download_WU!P69</f>
        <v>25</v>
      </c>
      <c r="D80" s="5">
        <f>Download_WU!Q69</f>
        <v>25</v>
      </c>
      <c r="E80" s="5">
        <f>Download_WU!R69</f>
        <v>0</v>
      </c>
      <c r="F80" s="5">
        <f>Download_WU!S69</f>
        <v>0</v>
      </c>
      <c r="G80" s="5">
        <f>Download_WU!T69</f>
        <v>0.39</v>
      </c>
      <c r="H80" s="5">
        <f>Download_WU!U69</f>
        <v>11</v>
      </c>
      <c r="I80" s="5">
        <f>Download_WU!V69</f>
        <v>0.41</v>
      </c>
      <c r="J80" s="5">
        <f>Download_WU!W69</f>
        <v>16</v>
      </c>
    </row>
    <row r="81" spans="1:10">
      <c r="C81" s="5">
        <f>Download_WU!P70</f>
        <v>24</v>
      </c>
      <c r="D81" s="5">
        <f>Download_WU!Q70</f>
        <v>24</v>
      </c>
      <c r="E81" s="5">
        <f>Download_WU!R70</f>
        <v>0.02</v>
      </c>
      <c r="F81" s="5">
        <f>Download_WU!S70</f>
        <v>0</v>
      </c>
      <c r="G81" s="5">
        <f>Download_WU!T70</f>
        <v>0.32</v>
      </c>
      <c r="H81" s="5">
        <f>Download_WU!U70</f>
        <v>12</v>
      </c>
      <c r="I81" s="5">
        <f>Download_WU!V70</f>
        <v>0.46</v>
      </c>
      <c r="J81" s="5">
        <f>Download_WU!W70</f>
        <v>13</v>
      </c>
    </row>
    <row r="82" spans="1:10">
      <c r="C82" s="5">
        <f>Download_WU!P71</f>
        <v>22</v>
      </c>
      <c r="D82" s="5">
        <f>Download_WU!Q71</f>
        <v>22</v>
      </c>
      <c r="E82" s="5">
        <f>Download_WU!R71</f>
        <v>0.05</v>
      </c>
      <c r="F82" s="5">
        <f>Download_WU!S71</f>
        <v>0</v>
      </c>
      <c r="G82" s="5">
        <f>Download_WU!T71</f>
        <v>0.26</v>
      </c>
      <c r="H82" s="5">
        <f>Download_WU!U71</f>
        <v>12</v>
      </c>
      <c r="I82" s="5">
        <f>Download_WU!V71</f>
        <v>0.52</v>
      </c>
      <c r="J82" s="5">
        <f>Download_WU!W71</f>
        <v>10</v>
      </c>
    </row>
    <row r="83" spans="1:10">
      <c r="C83" s="5">
        <f>Download_WU!P72</f>
        <v>21</v>
      </c>
      <c r="D83" s="5">
        <f>Download_WU!Q72</f>
        <v>21</v>
      </c>
      <c r="E83" s="5">
        <f>Download_WU!R72</f>
        <v>7.0000000000000007E-2</v>
      </c>
      <c r="F83" s="5">
        <f>Download_WU!S72</f>
        <v>0</v>
      </c>
      <c r="G83" s="5">
        <f>Download_WU!T72</f>
        <v>0.23</v>
      </c>
      <c r="H83" s="5">
        <f>Download_WU!U72</f>
        <v>12</v>
      </c>
      <c r="I83" s="5">
        <f>Download_WU!V72</f>
        <v>0.57999999999999996</v>
      </c>
      <c r="J83" s="5">
        <f>Download_WU!W72</f>
        <v>8</v>
      </c>
    </row>
    <row r="84" spans="1:10">
      <c r="C84" s="5">
        <f>Download_WU!P73</f>
        <v>19</v>
      </c>
      <c r="D84" s="5">
        <f>Download_WU!Q73</f>
        <v>19</v>
      </c>
      <c r="E84" s="5">
        <f>Download_WU!R73</f>
        <v>0.11</v>
      </c>
      <c r="F84" s="5">
        <f>Download_WU!S73</f>
        <v>0</v>
      </c>
      <c r="G84" s="5">
        <f>Download_WU!T73</f>
        <v>0.2</v>
      </c>
      <c r="H84" s="5">
        <f>Download_WU!U73</f>
        <v>12</v>
      </c>
      <c r="I84" s="5">
        <f>Download_WU!V73</f>
        <v>0.65</v>
      </c>
      <c r="J84" s="5">
        <f>Download_WU!W73</f>
        <v>8</v>
      </c>
    </row>
    <row r="85" spans="1:10">
      <c r="A85" s="8">
        <v>44400</v>
      </c>
      <c r="C85" s="5">
        <f>Download_WU!P74</f>
        <v>18</v>
      </c>
      <c r="D85" s="5">
        <f>Download_WU!Q74</f>
        <v>18</v>
      </c>
      <c r="E85" s="5">
        <f>Download_WU!R74</f>
        <v>0.12</v>
      </c>
      <c r="F85" s="5">
        <f>Download_WU!S74</f>
        <v>0</v>
      </c>
      <c r="G85" s="5">
        <f>Download_WU!T74</f>
        <v>0.18</v>
      </c>
      <c r="H85" s="5">
        <f>Download_WU!U74</f>
        <v>13</v>
      </c>
      <c r="I85" s="5">
        <f>Download_WU!V74</f>
        <v>0.7</v>
      </c>
      <c r="J85" s="5">
        <f>Download_WU!W74</f>
        <v>7</v>
      </c>
    </row>
    <row r="86" spans="1:10">
      <c r="C86" s="5">
        <f>Download_WU!P75</f>
        <v>17</v>
      </c>
      <c r="D86" s="5">
        <f>Download_WU!Q75</f>
        <v>17</v>
      </c>
      <c r="E86" s="5">
        <f>Download_WU!R75</f>
        <v>0.14000000000000001</v>
      </c>
      <c r="F86" s="5">
        <f>Download_WU!S75</f>
        <v>0</v>
      </c>
      <c r="G86" s="5">
        <f>Download_WU!T75</f>
        <v>0.16</v>
      </c>
      <c r="H86" s="5">
        <f>Download_WU!U75</f>
        <v>13</v>
      </c>
      <c r="I86" s="5">
        <f>Download_WU!V75</f>
        <v>0.74</v>
      </c>
      <c r="J86" s="5">
        <f>Download_WU!W75</f>
        <v>7</v>
      </c>
    </row>
    <row r="87" spans="1:10">
      <c r="C87" s="5">
        <f>Download_WU!P76</f>
        <v>16</v>
      </c>
      <c r="D87" s="5">
        <f>Download_WU!Q76</f>
        <v>16</v>
      </c>
      <c r="E87" s="5">
        <f>Download_WU!R76</f>
        <v>0.14000000000000001</v>
      </c>
      <c r="F87" s="5">
        <f>Download_WU!S76</f>
        <v>0</v>
      </c>
      <c r="G87" s="5">
        <f>Download_WU!T76</f>
        <v>0.13</v>
      </c>
      <c r="H87" s="5">
        <f>Download_WU!U76</f>
        <v>13</v>
      </c>
      <c r="I87" s="5">
        <f>Download_WU!V76</f>
        <v>0.79</v>
      </c>
      <c r="J87" s="5">
        <f>Download_WU!W76</f>
        <v>8</v>
      </c>
    </row>
    <row r="88" spans="1:10">
      <c r="C88" s="5">
        <f>Download_WU!P77</f>
        <v>16</v>
      </c>
      <c r="D88" s="5">
        <f>Download_WU!Q77</f>
        <v>16</v>
      </c>
      <c r="E88" s="5">
        <f>Download_WU!R77</f>
        <v>0.16</v>
      </c>
      <c r="F88" s="5">
        <f>Download_WU!S77</f>
        <v>0</v>
      </c>
      <c r="G88" s="5">
        <f>Download_WU!T77</f>
        <v>0.11</v>
      </c>
      <c r="H88" s="5">
        <f>Download_WU!U77</f>
        <v>13</v>
      </c>
      <c r="I88" s="5">
        <f>Download_WU!V77</f>
        <v>0.81</v>
      </c>
      <c r="J88" s="5">
        <f>Download_WU!W77</f>
        <v>8</v>
      </c>
    </row>
    <row r="89" spans="1:10">
      <c r="C89" s="5">
        <f>Download_WU!P78</f>
        <v>15</v>
      </c>
      <c r="D89" s="5">
        <f>Download_WU!Q78</f>
        <v>15</v>
      </c>
      <c r="E89" s="5">
        <f>Download_WU!R78</f>
        <v>0.18</v>
      </c>
      <c r="F89" s="5">
        <f>Download_WU!S78</f>
        <v>0</v>
      </c>
      <c r="G89" s="5">
        <f>Download_WU!T78</f>
        <v>0.11</v>
      </c>
      <c r="H89" s="5">
        <f>Download_WU!U78</f>
        <v>12</v>
      </c>
      <c r="I89" s="5">
        <f>Download_WU!V78</f>
        <v>0.84</v>
      </c>
      <c r="J89" s="5">
        <f>Download_WU!W78</f>
        <v>6</v>
      </c>
    </row>
    <row r="90" spans="1:10">
      <c r="C90" s="5">
        <f>Download_WU!P79</f>
        <v>14</v>
      </c>
      <c r="D90" s="5">
        <f>Download_WU!Q79</f>
        <v>14</v>
      </c>
      <c r="E90" s="5">
        <f>Download_WU!R79</f>
        <v>0.19</v>
      </c>
      <c r="F90" s="5">
        <f>Download_WU!S79</f>
        <v>0</v>
      </c>
      <c r="G90" s="5">
        <f>Download_WU!T79</f>
        <v>0.11</v>
      </c>
      <c r="H90" s="5">
        <f>Download_WU!U79</f>
        <v>12</v>
      </c>
      <c r="I90" s="5">
        <f>Download_WU!V79</f>
        <v>0.87</v>
      </c>
      <c r="J90" s="5">
        <f>Download_WU!W79</f>
        <v>6</v>
      </c>
    </row>
    <row r="91" spans="1:10">
      <c r="C91" s="5">
        <f>Download_WU!P80</f>
        <v>14</v>
      </c>
      <c r="D91" s="5">
        <f>Download_WU!Q80</f>
        <v>14</v>
      </c>
      <c r="E91" s="5">
        <f>Download_WU!R80</f>
        <v>0.18</v>
      </c>
      <c r="F91" s="5">
        <f>Download_WU!S80</f>
        <v>0</v>
      </c>
      <c r="G91" s="5">
        <f>Download_WU!T80</f>
        <v>0.12</v>
      </c>
      <c r="H91" s="5">
        <f>Download_WU!U80</f>
        <v>12</v>
      </c>
      <c r="I91" s="5">
        <f>Download_WU!V80</f>
        <v>0.9</v>
      </c>
      <c r="J91" s="5">
        <f>Download_WU!W80</f>
        <v>6</v>
      </c>
    </row>
    <row r="92" spans="1:10">
      <c r="C92" s="5">
        <f>Download_WU!P81</f>
        <v>15</v>
      </c>
      <c r="D92" s="5">
        <f>Download_WU!Q81</f>
        <v>15</v>
      </c>
      <c r="E92" s="5">
        <f>Download_WU!R81</f>
        <v>0.16</v>
      </c>
      <c r="F92" s="5">
        <f>Download_WU!S81</f>
        <v>0</v>
      </c>
      <c r="G92" s="5">
        <f>Download_WU!T81</f>
        <v>0.12</v>
      </c>
      <c r="H92" s="5">
        <f>Download_WU!U81</f>
        <v>12</v>
      </c>
      <c r="I92" s="5">
        <f>Download_WU!V81</f>
        <v>0.85</v>
      </c>
      <c r="J92" s="5">
        <f>Download_WU!W81</f>
        <v>6</v>
      </c>
    </row>
    <row r="93" spans="1:10">
      <c r="C93" s="5">
        <f>Download_WU!P82</f>
        <v>17</v>
      </c>
      <c r="D93" s="5">
        <f>Download_WU!Q82</f>
        <v>17</v>
      </c>
      <c r="E93" s="5">
        <f>Download_WU!R82</f>
        <v>0.12</v>
      </c>
      <c r="F93" s="5">
        <f>Download_WU!S82</f>
        <v>0</v>
      </c>
      <c r="G93" s="5">
        <f>Download_WU!T82</f>
        <v>0.12</v>
      </c>
      <c r="H93" s="5">
        <f>Download_WU!U82</f>
        <v>13</v>
      </c>
      <c r="I93" s="5">
        <f>Download_WU!V82</f>
        <v>0.78</v>
      </c>
      <c r="J93" s="5">
        <f>Download_WU!W82</f>
        <v>6</v>
      </c>
    </row>
    <row r="94" spans="1:10">
      <c r="C94" s="5">
        <f>Download_WU!P83</f>
        <v>19</v>
      </c>
      <c r="D94" s="5">
        <f>Download_WU!Q83</f>
        <v>19</v>
      </c>
      <c r="E94" s="5">
        <f>Download_WU!R83</f>
        <v>0.21</v>
      </c>
      <c r="F94" s="5">
        <f>Download_WU!S83</f>
        <v>0</v>
      </c>
      <c r="G94" s="5">
        <f>Download_WU!T83</f>
        <v>0.14000000000000001</v>
      </c>
      <c r="H94" s="5">
        <f>Download_WU!U83</f>
        <v>13</v>
      </c>
      <c r="I94" s="5">
        <f>Download_WU!V83</f>
        <v>0.68</v>
      </c>
      <c r="J94" s="5">
        <f>Download_WU!W83</f>
        <v>7</v>
      </c>
    </row>
    <row r="95" spans="1:10">
      <c r="C95" s="5">
        <f>Download_WU!P84</f>
        <v>21</v>
      </c>
      <c r="D95" s="5">
        <f>Download_WU!Q84</f>
        <v>21</v>
      </c>
      <c r="E95" s="5">
        <f>Download_WU!R84</f>
        <v>0.19</v>
      </c>
      <c r="F95" s="5">
        <f>Download_WU!S84</f>
        <v>0</v>
      </c>
      <c r="G95" s="5">
        <f>Download_WU!T84</f>
        <v>0.17</v>
      </c>
      <c r="H95" s="5">
        <f>Download_WU!U84</f>
        <v>13</v>
      </c>
      <c r="I95" s="5">
        <f>Download_WU!V84</f>
        <v>0.59</v>
      </c>
      <c r="J95" s="5">
        <f>Download_WU!W84</f>
        <v>8</v>
      </c>
    </row>
    <row r="96" spans="1:10">
      <c r="C96" s="5">
        <f>Download_WU!P85</f>
        <v>23</v>
      </c>
      <c r="D96" s="5">
        <f>Download_WU!Q85</f>
        <v>23</v>
      </c>
      <c r="E96" s="5">
        <f>Download_WU!R85</f>
        <v>0.16</v>
      </c>
      <c r="F96" s="5">
        <f>Download_WU!S85</f>
        <v>0</v>
      </c>
      <c r="G96" s="5">
        <f>Download_WU!T85</f>
        <v>0.21</v>
      </c>
      <c r="H96" s="5">
        <f>Download_WU!U85</f>
        <v>13</v>
      </c>
      <c r="I96" s="5">
        <f>Download_WU!V85</f>
        <v>0.52</v>
      </c>
      <c r="J96" s="5">
        <f>Download_WU!W85</f>
        <v>8</v>
      </c>
    </row>
    <row r="97" spans="1:10">
      <c r="C97" s="5">
        <f>Download_WU!P86</f>
        <v>25</v>
      </c>
      <c r="D97" s="5">
        <f>Download_WU!Q86</f>
        <v>25</v>
      </c>
      <c r="E97" s="5">
        <f>Download_WU!R86</f>
        <v>0.12</v>
      </c>
      <c r="F97" s="5">
        <f>Download_WU!S86</f>
        <v>0</v>
      </c>
      <c r="G97" s="5">
        <f>Download_WU!T86</f>
        <v>0.27</v>
      </c>
      <c r="H97" s="5">
        <f>Download_WU!U86</f>
        <v>12</v>
      </c>
      <c r="I97" s="5">
        <f>Download_WU!V86</f>
        <v>0.46</v>
      </c>
      <c r="J97" s="5">
        <f>Download_WU!W86</f>
        <v>10</v>
      </c>
    </row>
    <row r="98" spans="1:10">
      <c r="C98" s="5">
        <f>Download_WU!P87</f>
        <v>26</v>
      </c>
      <c r="D98" s="5">
        <f>Download_WU!Q87</f>
        <v>26</v>
      </c>
      <c r="E98" s="5">
        <f>Download_WU!R87</f>
        <v>0.11</v>
      </c>
      <c r="F98" s="5">
        <f>Download_WU!S87</f>
        <v>0</v>
      </c>
      <c r="G98" s="5">
        <f>Download_WU!T87</f>
        <v>0.33</v>
      </c>
      <c r="H98" s="5">
        <f>Download_WU!U87</f>
        <v>11</v>
      </c>
      <c r="I98" s="5">
        <f>Download_WU!V87</f>
        <v>0.41</v>
      </c>
      <c r="J98" s="5">
        <f>Download_WU!W87</f>
        <v>11</v>
      </c>
    </row>
    <row r="99" spans="1:10">
      <c r="C99" s="5">
        <f>Download_WU!P88</f>
        <v>27</v>
      </c>
      <c r="D99" s="5">
        <f>Download_WU!Q88</f>
        <v>27</v>
      </c>
      <c r="E99" s="5">
        <f>Download_WU!R88</f>
        <v>0.11</v>
      </c>
      <c r="F99" s="5">
        <f>Download_WU!S88</f>
        <v>0</v>
      </c>
      <c r="G99" s="5">
        <f>Download_WU!T88</f>
        <v>0.41</v>
      </c>
      <c r="H99" s="5">
        <f>Download_WU!U88</f>
        <v>11</v>
      </c>
      <c r="I99" s="5">
        <f>Download_WU!V88</f>
        <v>0.37</v>
      </c>
      <c r="J99" s="5">
        <f>Download_WU!W88</f>
        <v>12</v>
      </c>
    </row>
    <row r="100" spans="1:10">
      <c r="C100" s="5">
        <f>Download_WU!P89</f>
        <v>27</v>
      </c>
      <c r="D100" s="5">
        <f>Download_WU!Q89</f>
        <v>27</v>
      </c>
      <c r="E100" s="5">
        <f>Download_WU!R89</f>
        <v>0.09</v>
      </c>
      <c r="F100" s="5">
        <f>Download_WU!S89</f>
        <v>0</v>
      </c>
      <c r="G100" s="5">
        <f>Download_WU!T89</f>
        <v>0.47</v>
      </c>
      <c r="H100" s="5">
        <f>Download_WU!U89</f>
        <v>10</v>
      </c>
      <c r="I100" s="5">
        <f>Download_WU!V89</f>
        <v>0.36</v>
      </c>
      <c r="J100" s="5">
        <f>Download_WU!W89</f>
        <v>12</v>
      </c>
    </row>
    <row r="101" spans="1:10">
      <c r="C101" s="5">
        <f>Download_WU!P90</f>
        <v>27</v>
      </c>
      <c r="D101" s="5">
        <f>Download_WU!Q90</f>
        <v>27</v>
      </c>
      <c r="E101" s="5">
        <f>Download_WU!R90</f>
        <v>7.0000000000000007E-2</v>
      </c>
      <c r="F101" s="5">
        <f>Download_WU!S90</f>
        <v>0</v>
      </c>
      <c r="G101" s="5">
        <f>Download_WU!T90</f>
        <v>0.51</v>
      </c>
      <c r="H101" s="5">
        <f>Download_WU!U90</f>
        <v>11</v>
      </c>
      <c r="I101" s="5">
        <f>Download_WU!V90</f>
        <v>0.36</v>
      </c>
      <c r="J101" s="5">
        <f>Download_WU!W90</f>
        <v>13</v>
      </c>
    </row>
    <row r="102" spans="1:10">
      <c r="C102" s="5">
        <f>Download_WU!P91</f>
        <v>27</v>
      </c>
      <c r="D102" s="5">
        <f>Download_WU!Q91</f>
        <v>27</v>
      </c>
      <c r="E102" s="5">
        <f>Download_WU!R91</f>
        <v>7.0000000000000007E-2</v>
      </c>
      <c r="F102" s="5">
        <f>Download_WU!S91</f>
        <v>0</v>
      </c>
      <c r="G102" s="5">
        <f>Download_WU!T91</f>
        <v>0.51</v>
      </c>
      <c r="H102" s="5">
        <f>Download_WU!U91</f>
        <v>11</v>
      </c>
      <c r="I102" s="5">
        <f>Download_WU!V91</f>
        <v>0.36</v>
      </c>
      <c r="J102" s="5">
        <f>Download_WU!W91</f>
        <v>15</v>
      </c>
    </row>
    <row r="103" spans="1:10">
      <c r="C103" s="5">
        <f>Download_WU!P92</f>
        <v>27</v>
      </c>
      <c r="D103" s="5">
        <f>Download_WU!Q92</f>
        <v>27</v>
      </c>
      <c r="E103" s="5">
        <f>Download_WU!R92</f>
        <v>0</v>
      </c>
      <c r="F103" s="5">
        <f>Download_WU!S92</f>
        <v>0</v>
      </c>
      <c r="G103" s="5">
        <f>Download_WU!T92</f>
        <v>0.48</v>
      </c>
      <c r="H103" s="5">
        <f>Download_WU!U92</f>
        <v>11</v>
      </c>
      <c r="I103" s="5">
        <f>Download_WU!V92</f>
        <v>0.37</v>
      </c>
      <c r="J103" s="5">
        <f>Download_WU!W92</f>
        <v>17</v>
      </c>
    </row>
    <row r="104" spans="1:10">
      <c r="C104" s="5">
        <f>Download_WU!P93</f>
        <v>26</v>
      </c>
      <c r="D104" s="5">
        <f>Download_WU!Q93</f>
        <v>26</v>
      </c>
      <c r="E104" s="5">
        <f>Download_WU!R93</f>
        <v>0</v>
      </c>
      <c r="F104" s="5">
        <f>Download_WU!S93</f>
        <v>0</v>
      </c>
      <c r="G104" s="5">
        <f>Download_WU!T93</f>
        <v>0.45</v>
      </c>
      <c r="H104" s="5">
        <f>Download_WU!U93</f>
        <v>11</v>
      </c>
      <c r="I104" s="5">
        <f>Download_WU!V93</f>
        <v>0.41</v>
      </c>
      <c r="J104" s="5">
        <f>Download_WU!W93</f>
        <v>16</v>
      </c>
    </row>
    <row r="105" spans="1:10">
      <c r="C105" s="5">
        <f>Download_WU!P94</f>
        <v>24</v>
      </c>
      <c r="D105" s="5">
        <f>Download_WU!Q94</f>
        <v>24</v>
      </c>
      <c r="E105" s="5">
        <f>Download_WU!R94</f>
        <v>0</v>
      </c>
      <c r="F105" s="5">
        <f>Download_WU!S94</f>
        <v>0</v>
      </c>
      <c r="G105" s="5">
        <f>Download_WU!T94</f>
        <v>0.35</v>
      </c>
      <c r="H105" s="5">
        <f>Download_WU!U94</f>
        <v>12</v>
      </c>
      <c r="I105" s="5">
        <f>Download_WU!V94</f>
        <v>0.45</v>
      </c>
      <c r="J105" s="5">
        <f>Download_WU!W94</f>
        <v>13</v>
      </c>
    </row>
    <row r="106" spans="1:10">
      <c r="C106" s="5">
        <f>Download_WU!P95</f>
        <v>22</v>
      </c>
      <c r="D106" s="5">
        <f>Download_WU!Q95</f>
        <v>22</v>
      </c>
      <c r="E106" s="5">
        <f>Download_WU!R95</f>
        <v>0.02</v>
      </c>
      <c r="F106" s="5">
        <f>Download_WU!S95</f>
        <v>0</v>
      </c>
      <c r="G106" s="5">
        <f>Download_WU!T95</f>
        <v>0.27</v>
      </c>
      <c r="H106" s="5">
        <f>Download_WU!U95</f>
        <v>12</v>
      </c>
      <c r="I106" s="5">
        <f>Download_WU!V95</f>
        <v>0.52</v>
      </c>
      <c r="J106" s="5">
        <f>Download_WU!W95</f>
        <v>10</v>
      </c>
    </row>
    <row r="107" spans="1:10">
      <c r="C107" s="5">
        <f>Download_WU!P96</f>
        <v>21</v>
      </c>
      <c r="D107" s="5">
        <f>Download_WU!Q96</f>
        <v>21</v>
      </c>
      <c r="E107" s="5">
        <f>Download_WU!R96</f>
        <v>0.04</v>
      </c>
      <c r="F107" s="5">
        <f>Download_WU!S96</f>
        <v>0</v>
      </c>
      <c r="G107" s="5">
        <f>Download_WU!T96</f>
        <v>0.23</v>
      </c>
      <c r="H107" s="5">
        <f>Download_WU!U96</f>
        <v>12</v>
      </c>
      <c r="I107" s="5">
        <f>Download_WU!V96</f>
        <v>0.59</v>
      </c>
      <c r="J107" s="5">
        <f>Download_WU!W96</f>
        <v>8</v>
      </c>
    </row>
    <row r="108" spans="1:10">
      <c r="C108" s="5">
        <f>Download_WU!P97</f>
        <v>19</v>
      </c>
      <c r="D108" s="5">
        <f>Download_WU!Q97</f>
        <v>19</v>
      </c>
      <c r="E108" s="5">
        <f>Download_WU!R97</f>
        <v>0.05</v>
      </c>
      <c r="F108" s="5">
        <f>Download_WU!S97</f>
        <v>0</v>
      </c>
      <c r="G108" s="5">
        <f>Download_WU!T97</f>
        <v>0.21</v>
      </c>
      <c r="H108" s="5">
        <f>Download_WU!U97</f>
        <v>13</v>
      </c>
      <c r="I108" s="5">
        <f>Download_WU!V97</f>
        <v>0.65</v>
      </c>
      <c r="J108" s="5">
        <f>Download_WU!W97</f>
        <v>8</v>
      </c>
    </row>
    <row r="109" spans="1:10">
      <c r="A109" s="8">
        <v>44401</v>
      </c>
      <c r="C109" s="5">
        <f>Download_WU!P98</f>
        <v>18</v>
      </c>
      <c r="D109" s="5">
        <f>Download_WU!Q98</f>
        <v>18</v>
      </c>
      <c r="E109" s="5">
        <f>Download_WU!R98</f>
        <v>7.0000000000000007E-2</v>
      </c>
      <c r="F109" s="5">
        <f>Download_WU!S98</f>
        <v>0</v>
      </c>
      <c r="G109" s="5">
        <f>Download_WU!T98</f>
        <v>0.19</v>
      </c>
      <c r="H109" s="5">
        <f>Download_WU!U98</f>
        <v>13</v>
      </c>
      <c r="I109" s="5">
        <f>Download_WU!V98</f>
        <v>0.7</v>
      </c>
      <c r="J109" s="5">
        <f>Download_WU!W98</f>
        <v>7</v>
      </c>
    </row>
    <row r="110" spans="1:10">
      <c r="C110" s="5">
        <f>Download_WU!P99</f>
        <v>18</v>
      </c>
      <c r="D110" s="5">
        <f>Download_WU!Q99</f>
        <v>18</v>
      </c>
      <c r="E110" s="5">
        <f>Download_WU!R99</f>
        <v>0.09</v>
      </c>
      <c r="F110" s="5">
        <f>Download_WU!S99</f>
        <v>0</v>
      </c>
      <c r="G110" s="5">
        <f>Download_WU!T99</f>
        <v>0.16</v>
      </c>
      <c r="H110" s="5">
        <f>Download_WU!U99</f>
        <v>13</v>
      </c>
      <c r="I110" s="5">
        <f>Download_WU!V99</f>
        <v>0.73</v>
      </c>
      <c r="J110" s="5">
        <f>Download_WU!W99</f>
        <v>7</v>
      </c>
    </row>
    <row r="111" spans="1:10">
      <c r="C111" s="5">
        <f>Download_WU!P100</f>
        <v>17</v>
      </c>
      <c r="D111" s="5">
        <f>Download_WU!Q100</f>
        <v>17</v>
      </c>
      <c r="E111" s="5">
        <f>Download_WU!R100</f>
        <v>0.09</v>
      </c>
      <c r="F111" s="5">
        <f>Download_WU!S100</f>
        <v>0</v>
      </c>
      <c r="G111" s="5">
        <f>Download_WU!T100</f>
        <v>0.14000000000000001</v>
      </c>
      <c r="H111" s="5">
        <f>Download_WU!U100</f>
        <v>13</v>
      </c>
      <c r="I111" s="5">
        <f>Download_WU!V100</f>
        <v>0.76</v>
      </c>
      <c r="J111" s="5">
        <f>Download_WU!W100</f>
        <v>6</v>
      </c>
    </row>
    <row r="112" spans="1:10">
      <c r="C112" s="5">
        <f>Download_WU!P101</f>
        <v>16</v>
      </c>
      <c r="D112" s="5">
        <f>Download_WU!Q101</f>
        <v>16</v>
      </c>
      <c r="E112" s="5">
        <f>Download_WU!R101</f>
        <v>0.11</v>
      </c>
      <c r="F112" s="5">
        <f>Download_WU!S101</f>
        <v>0</v>
      </c>
      <c r="G112" s="5">
        <f>Download_WU!T101</f>
        <v>0.12</v>
      </c>
      <c r="H112" s="5">
        <f>Download_WU!U101</f>
        <v>12</v>
      </c>
      <c r="I112" s="5">
        <f>Download_WU!V101</f>
        <v>0.79</v>
      </c>
      <c r="J112" s="5">
        <f>Download_WU!W101</f>
        <v>6</v>
      </c>
    </row>
    <row r="113" spans="3:10">
      <c r="C113" s="5">
        <f>Download_WU!P102</f>
        <v>15</v>
      </c>
      <c r="D113" s="5">
        <f>Download_WU!Q102</f>
        <v>15</v>
      </c>
      <c r="E113" s="5">
        <f>Download_WU!R102</f>
        <v>0.11</v>
      </c>
      <c r="F113" s="5">
        <f>Download_WU!S102</f>
        <v>0</v>
      </c>
      <c r="G113" s="5">
        <f>Download_WU!T102</f>
        <v>0.12</v>
      </c>
      <c r="H113" s="5">
        <f>Download_WU!U102</f>
        <v>12</v>
      </c>
      <c r="I113" s="5">
        <f>Download_WU!V102</f>
        <v>0.82</v>
      </c>
      <c r="J113" s="5">
        <f>Download_WU!W102</f>
        <v>6</v>
      </c>
    </row>
    <row r="114" spans="3:10">
      <c r="C114" s="5">
        <f>Download_WU!P103</f>
        <v>15</v>
      </c>
      <c r="D114" s="5">
        <f>Download_WU!Q103</f>
        <v>15</v>
      </c>
      <c r="E114" s="5">
        <f>Download_WU!R103</f>
        <v>0.12</v>
      </c>
      <c r="F114" s="5">
        <f>Download_WU!S103</f>
        <v>0</v>
      </c>
      <c r="G114" s="5">
        <f>Download_WU!T103</f>
        <v>0.12</v>
      </c>
      <c r="H114" s="5">
        <f>Download_WU!U103</f>
        <v>12</v>
      </c>
      <c r="I114" s="5">
        <f>Download_WU!V103</f>
        <v>0.86</v>
      </c>
      <c r="J114" s="5">
        <f>Download_WU!W103</f>
        <v>6</v>
      </c>
    </row>
    <row r="115" spans="3:10">
      <c r="C115" s="5">
        <f>Download_WU!P104</f>
        <v>14</v>
      </c>
      <c r="D115" s="5">
        <f>Download_WU!Q104</f>
        <v>14</v>
      </c>
      <c r="E115" s="5">
        <f>Download_WU!R104</f>
        <v>0.12</v>
      </c>
      <c r="F115" s="5">
        <f>Download_WU!S104</f>
        <v>0</v>
      </c>
      <c r="G115" s="5">
        <f>Download_WU!T104</f>
        <v>0.11</v>
      </c>
      <c r="H115" s="5">
        <f>Download_WU!U104</f>
        <v>12</v>
      </c>
      <c r="I115" s="5">
        <f>Download_WU!V104</f>
        <v>0.86</v>
      </c>
      <c r="J115" s="5">
        <f>Download_WU!W104</f>
        <v>5</v>
      </c>
    </row>
    <row r="116" spans="3:10">
      <c r="C116" s="5">
        <f>Download_WU!P105</f>
        <v>15</v>
      </c>
      <c r="D116" s="5">
        <f>Download_WU!Q105</f>
        <v>15</v>
      </c>
      <c r="E116" s="5">
        <f>Download_WU!R105</f>
        <v>0.11</v>
      </c>
      <c r="F116" s="5">
        <f>Download_WU!S105</f>
        <v>0</v>
      </c>
      <c r="G116" s="5">
        <f>Download_WU!T105</f>
        <v>0.11</v>
      </c>
      <c r="H116" s="5">
        <f>Download_WU!U105</f>
        <v>12</v>
      </c>
      <c r="I116" s="5">
        <f>Download_WU!V105</f>
        <v>0.84</v>
      </c>
      <c r="J116" s="5">
        <f>Download_WU!W105</f>
        <v>6</v>
      </c>
    </row>
    <row r="117" spans="3:10">
      <c r="C117" s="5">
        <f>Download_WU!P106</f>
        <v>17</v>
      </c>
      <c r="D117" s="5">
        <f>Download_WU!Q106</f>
        <v>17</v>
      </c>
      <c r="E117" s="5">
        <f>Download_WU!R106</f>
        <v>7.0000000000000007E-2</v>
      </c>
      <c r="F117" s="5">
        <f>Download_WU!S106</f>
        <v>0</v>
      </c>
      <c r="G117" s="5">
        <f>Download_WU!T106</f>
        <v>0.19</v>
      </c>
      <c r="H117" s="5">
        <f>Download_WU!U106</f>
        <v>13</v>
      </c>
      <c r="I117" s="5">
        <f>Download_WU!V106</f>
        <v>0.75</v>
      </c>
      <c r="J117" s="5">
        <f>Download_WU!W106</f>
        <v>6</v>
      </c>
    </row>
    <row r="118" spans="3:10">
      <c r="C118" s="5">
        <f>Download_WU!P107</f>
        <v>20</v>
      </c>
      <c r="D118" s="5">
        <f>Download_WU!Q107</f>
        <v>20</v>
      </c>
      <c r="E118" s="5">
        <f>Download_WU!R107</f>
        <v>0.09</v>
      </c>
      <c r="F118" s="5">
        <f>Download_WU!S107</f>
        <v>0</v>
      </c>
      <c r="G118" s="5">
        <f>Download_WU!T107</f>
        <v>0.12</v>
      </c>
      <c r="H118" s="5">
        <f>Download_WU!U107</f>
        <v>13</v>
      </c>
      <c r="I118" s="5">
        <f>Download_WU!V107</f>
        <v>0.66</v>
      </c>
      <c r="J118" s="5">
        <f>Download_WU!W107</f>
        <v>6</v>
      </c>
    </row>
    <row r="119" spans="3:10">
      <c r="C119" s="5">
        <f>Download_WU!P108</f>
        <v>22</v>
      </c>
      <c r="D119" s="5">
        <f>Download_WU!Q108</f>
        <v>22</v>
      </c>
      <c r="E119" s="5">
        <f>Download_WU!R108</f>
        <v>0.09</v>
      </c>
      <c r="F119" s="5">
        <f>Download_WU!S108</f>
        <v>0</v>
      </c>
      <c r="G119" s="5">
        <f>Download_WU!T108</f>
        <v>0.13</v>
      </c>
      <c r="H119" s="5">
        <f>Download_WU!U108</f>
        <v>13</v>
      </c>
      <c r="I119" s="5">
        <f>Download_WU!V108</f>
        <v>0.56000000000000005</v>
      </c>
      <c r="J119" s="5">
        <f>Download_WU!W108</f>
        <v>9</v>
      </c>
    </row>
    <row r="120" spans="3:10">
      <c r="C120" s="5">
        <f>Download_WU!P109</f>
        <v>24</v>
      </c>
      <c r="D120" s="5">
        <f>Download_WU!Q109</f>
        <v>24</v>
      </c>
      <c r="E120" s="5">
        <f>Download_WU!R109</f>
        <v>0.09</v>
      </c>
      <c r="F120" s="5">
        <f>Download_WU!S109</f>
        <v>0</v>
      </c>
      <c r="G120" s="5">
        <f>Download_WU!T109</f>
        <v>0.16</v>
      </c>
      <c r="H120" s="5">
        <f>Download_WU!U109</f>
        <v>12</v>
      </c>
      <c r="I120" s="5">
        <f>Download_WU!V109</f>
        <v>0.49</v>
      </c>
      <c r="J120" s="5">
        <f>Download_WU!W109</f>
        <v>10</v>
      </c>
    </row>
    <row r="121" spans="3:10">
      <c r="C121" s="5">
        <f>Download_WU!P110</f>
        <v>25</v>
      </c>
      <c r="D121" s="5">
        <f>Download_WU!Q110</f>
        <v>25</v>
      </c>
      <c r="E121" s="5">
        <f>Download_WU!R110</f>
        <v>0.05</v>
      </c>
      <c r="F121" s="5">
        <f>Download_WU!S110</f>
        <v>0</v>
      </c>
      <c r="G121" s="5">
        <f>Download_WU!T110</f>
        <v>0.19</v>
      </c>
      <c r="H121" s="5">
        <f>Download_WU!U110</f>
        <v>12</v>
      </c>
      <c r="I121" s="5">
        <f>Download_WU!V110</f>
        <v>0.43</v>
      </c>
      <c r="J121" s="5">
        <f>Download_WU!W110</f>
        <v>13</v>
      </c>
    </row>
    <row r="122" spans="3:10">
      <c r="C122" s="5">
        <f>Download_WU!P111</f>
        <v>26</v>
      </c>
      <c r="D122" s="5">
        <f>Download_WU!Q111</f>
        <v>26</v>
      </c>
      <c r="E122" s="5">
        <f>Download_WU!R111</f>
        <v>0.05</v>
      </c>
      <c r="F122" s="5">
        <f>Download_WU!S111</f>
        <v>0</v>
      </c>
      <c r="G122" s="5">
        <f>Download_WU!T111</f>
        <v>0.25</v>
      </c>
      <c r="H122" s="5">
        <f>Download_WU!U111</f>
        <v>11</v>
      </c>
      <c r="I122" s="5">
        <f>Download_WU!V111</f>
        <v>0.38</v>
      </c>
      <c r="J122" s="5">
        <f>Download_WU!W111</f>
        <v>14</v>
      </c>
    </row>
    <row r="123" spans="3:10">
      <c r="C123" s="5">
        <f>Download_WU!P112</f>
        <v>27</v>
      </c>
      <c r="D123" s="5">
        <f>Download_WU!Q112</f>
        <v>27</v>
      </c>
      <c r="E123" s="5">
        <f>Download_WU!R112</f>
        <v>0.03</v>
      </c>
      <c r="F123" s="5">
        <f>Download_WU!S112</f>
        <v>0</v>
      </c>
      <c r="G123" s="5">
        <f>Download_WU!T112</f>
        <v>0.33</v>
      </c>
      <c r="H123" s="5">
        <f>Download_WU!U112</f>
        <v>10</v>
      </c>
      <c r="I123" s="5">
        <f>Download_WU!V112</f>
        <v>0.35</v>
      </c>
      <c r="J123" s="5">
        <f>Download_WU!W112</f>
        <v>15</v>
      </c>
    </row>
    <row r="124" spans="3:10">
      <c r="C124" s="5">
        <f>Download_WU!P113</f>
        <v>27</v>
      </c>
      <c r="D124" s="5">
        <f>Download_WU!Q113</f>
        <v>27</v>
      </c>
      <c r="E124" s="5">
        <f>Download_WU!R113</f>
        <v>0.1</v>
      </c>
      <c r="F124" s="5">
        <f>Download_WU!S113</f>
        <v>0</v>
      </c>
      <c r="G124" s="5">
        <f>Download_WU!T113</f>
        <v>0.37</v>
      </c>
      <c r="H124" s="5">
        <f>Download_WU!U113</f>
        <v>10</v>
      </c>
      <c r="I124" s="5">
        <f>Download_WU!V113</f>
        <v>0.35</v>
      </c>
      <c r="J124" s="5">
        <f>Download_WU!W113</f>
        <v>15</v>
      </c>
    </row>
    <row r="125" spans="3:10">
      <c r="C125" s="5">
        <f>Download_WU!P114</f>
        <v>28</v>
      </c>
      <c r="D125" s="5">
        <f>Download_WU!Q114</f>
        <v>28</v>
      </c>
      <c r="E125" s="5">
        <f>Download_WU!R114</f>
        <v>0.09</v>
      </c>
      <c r="F125" s="5">
        <f>Download_WU!S114</f>
        <v>0</v>
      </c>
      <c r="G125" s="5">
        <f>Download_WU!T114</f>
        <v>0.36</v>
      </c>
      <c r="H125" s="5">
        <f>Download_WU!U114</f>
        <v>11</v>
      </c>
      <c r="I125" s="5">
        <f>Download_WU!V114</f>
        <v>0.35</v>
      </c>
      <c r="J125" s="5">
        <f>Download_WU!W114</f>
        <v>14</v>
      </c>
    </row>
    <row r="126" spans="3:10">
      <c r="C126" s="5">
        <f>Download_WU!P115</f>
        <v>27</v>
      </c>
      <c r="D126" s="5">
        <f>Download_WU!Q115</f>
        <v>27</v>
      </c>
      <c r="E126" s="5">
        <f>Download_WU!R115</f>
        <v>0.06</v>
      </c>
      <c r="F126" s="5">
        <f>Download_WU!S115</f>
        <v>0</v>
      </c>
      <c r="G126" s="5">
        <f>Download_WU!T115</f>
        <v>0.36</v>
      </c>
      <c r="H126" s="5">
        <f>Download_WU!U115</f>
        <v>11</v>
      </c>
      <c r="I126" s="5">
        <f>Download_WU!V115</f>
        <v>0.36</v>
      </c>
      <c r="J126" s="5">
        <f>Download_WU!W115</f>
        <v>15</v>
      </c>
    </row>
    <row r="127" spans="3:10">
      <c r="C127" s="5">
        <f>Download_WU!P116</f>
        <v>27</v>
      </c>
      <c r="D127" s="5">
        <f>Download_WU!Q116</f>
        <v>27</v>
      </c>
      <c r="E127" s="5">
        <f>Download_WU!R116</f>
        <v>0.04</v>
      </c>
      <c r="F127" s="5">
        <f>Download_WU!S116</f>
        <v>0</v>
      </c>
      <c r="G127" s="5">
        <f>Download_WU!T116</f>
        <v>0.33</v>
      </c>
      <c r="H127" s="5">
        <f>Download_WU!U116</f>
        <v>11</v>
      </c>
      <c r="I127" s="5">
        <f>Download_WU!V116</f>
        <v>0.38</v>
      </c>
      <c r="J127" s="5">
        <f>Download_WU!W116</f>
        <v>15</v>
      </c>
    </row>
    <row r="128" spans="3:10">
      <c r="C128" s="5">
        <f>Download_WU!P117</f>
        <v>26</v>
      </c>
      <c r="D128" s="5">
        <f>Download_WU!Q117</f>
        <v>26</v>
      </c>
      <c r="E128" s="5">
        <f>Download_WU!R117</f>
        <v>0.03</v>
      </c>
      <c r="F128" s="5">
        <f>Download_WU!S117</f>
        <v>0</v>
      </c>
      <c r="G128" s="5">
        <f>Download_WU!T117</f>
        <v>0.28999999999999998</v>
      </c>
      <c r="H128" s="5">
        <f>Download_WU!U117</f>
        <v>11</v>
      </c>
      <c r="I128" s="5">
        <f>Download_WU!V117</f>
        <v>0.4</v>
      </c>
      <c r="J128" s="5">
        <f>Download_WU!W117</f>
        <v>15</v>
      </c>
    </row>
    <row r="129" spans="3:10">
      <c r="C129" s="5">
        <f>Download_WU!P118</f>
        <v>24</v>
      </c>
      <c r="D129" s="5">
        <f>Download_WU!Q118</f>
        <v>24</v>
      </c>
      <c r="E129" s="5">
        <f>Download_WU!R118</f>
        <v>0.03</v>
      </c>
      <c r="F129" s="5">
        <f>Download_WU!S118</f>
        <v>0</v>
      </c>
      <c r="G129" s="5">
        <f>Download_WU!T118</f>
        <v>0.23</v>
      </c>
      <c r="H129" s="5">
        <f>Download_WU!U118</f>
        <v>12</v>
      </c>
      <c r="I129" s="5">
        <f>Download_WU!V118</f>
        <v>0.46</v>
      </c>
      <c r="J129" s="5">
        <f>Download_WU!W118</f>
        <v>13</v>
      </c>
    </row>
    <row r="130" spans="3:10">
      <c r="C130" s="5">
        <f>Download_WU!P119</f>
        <v>22</v>
      </c>
      <c r="D130" s="5">
        <f>Download_WU!Q119</f>
        <v>22</v>
      </c>
      <c r="E130" s="5">
        <f>Download_WU!R119</f>
        <v>0.01</v>
      </c>
      <c r="F130" s="5">
        <f>Download_WU!S119</f>
        <v>0</v>
      </c>
      <c r="G130" s="5">
        <f>Download_WU!T119</f>
        <v>0.19</v>
      </c>
      <c r="H130" s="5">
        <f>Download_WU!U119</f>
        <v>12</v>
      </c>
      <c r="I130" s="5">
        <f>Download_WU!V119</f>
        <v>0.52</v>
      </c>
      <c r="J130" s="5">
        <f>Download_WU!W119</f>
        <v>10</v>
      </c>
    </row>
    <row r="131" spans="3:10">
      <c r="C131" s="5">
        <f>Download_WU!P120</f>
        <v>21</v>
      </c>
      <c r="D131" s="5">
        <f>Download_WU!Q120</f>
        <v>21</v>
      </c>
      <c r="E131" s="5">
        <f>Download_WU!R120</f>
        <v>0.02</v>
      </c>
      <c r="F131" s="5">
        <f>Download_WU!S120</f>
        <v>0</v>
      </c>
      <c r="G131" s="5">
        <f>Download_WU!T120</f>
        <v>0.14000000000000001</v>
      </c>
      <c r="H131" s="5">
        <f>Download_WU!U120</f>
        <v>12</v>
      </c>
      <c r="I131" s="5">
        <f>Download_WU!V120</f>
        <v>0.56999999999999995</v>
      </c>
      <c r="J131" s="5">
        <f>Download_WU!W120</f>
        <v>9</v>
      </c>
    </row>
    <row r="132" spans="3:10">
      <c r="C132" s="5">
        <f>Download_WU!P121</f>
        <v>19</v>
      </c>
      <c r="D132" s="5">
        <f>Download_WU!Q121</f>
        <v>19</v>
      </c>
      <c r="E132" s="5">
        <f>Download_WU!R121</f>
        <v>0.03</v>
      </c>
      <c r="F132" s="5">
        <f>Download_WU!S121</f>
        <v>0</v>
      </c>
      <c r="G132" s="5">
        <f>Download_WU!T121</f>
        <v>0.1</v>
      </c>
      <c r="H132" s="5">
        <f>Download_WU!U121</f>
        <v>12</v>
      </c>
      <c r="I132" s="5">
        <f>Download_WU!V121</f>
        <v>0.63</v>
      </c>
      <c r="J132" s="5">
        <f>Download_WU!W121</f>
        <v>8</v>
      </c>
    </row>
  </sheetData>
  <mergeCells count="8">
    <mergeCell ref="A7:B7"/>
    <mergeCell ref="A10:B10"/>
    <mergeCell ref="A1:B1"/>
    <mergeCell ref="A2:B2"/>
    <mergeCell ref="A3:B3"/>
    <mergeCell ref="A4:B4"/>
    <mergeCell ref="A5:B5"/>
    <mergeCell ref="A6:B6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EXPORT_DO_Xenergie_sloup">
                <anchor moveWithCells="1" sizeWithCells="1">
                  <from>
                    <xdr:col>0</xdr:col>
                    <xdr:colOff>19050</xdr:colOff>
                    <xdr:row>10</xdr:row>
                    <xdr:rowOff>57150</xdr:rowOff>
                  </from>
                  <to>
                    <xdr:col>1</xdr:col>
                    <xdr:colOff>809625</xdr:colOff>
                    <xdr:row>10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Download_WU</vt:lpstr>
      <vt:lpstr>Upload_XE</vt:lpstr>
      <vt:lpstr>Count_days</vt:lpstr>
      <vt:lpstr>Upload_XE!Dat_DO</vt:lpstr>
      <vt:lpstr>Upload_XE!Dat_OD</vt:lpstr>
      <vt:lpstr>Upload_XE!Nav_Dat</vt:lpstr>
      <vt:lpstr>Upload_XE!Nav_Hodn1st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tsvetan.tsonev@cez.bg</dc:creator>
  <cp:lastModifiedBy>Цветан Руменов Цонев</cp:lastModifiedBy>
  <dcterms:created xsi:type="dcterms:W3CDTF">2003-08-25T11:52:30Z</dcterms:created>
  <dcterms:modified xsi:type="dcterms:W3CDTF">2021-07-19T13:00:08Z</dcterms:modified>
</cp:coreProperties>
</file>