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vetan.tsonev\DATA\SLR\"/>
    </mc:Choice>
  </mc:AlternateContent>
  <xr:revisionPtr revIDLastSave="0" documentId="13_ncr:1_{320FF9AD-0E64-48A6-9C43-4D41BDD5F05C}" xr6:coauthVersionLast="45" xr6:coauthVersionMax="45" xr10:uidLastSave="{00000000-0000-0000-0000-000000000000}"/>
  <bookViews>
    <workbookView xWindow="-120" yWindow="-120" windowWidth="29040" windowHeight="15990" activeTab="3" xr2:uid="{00000000-000D-0000-FFFF-FFFF00000000}"/>
  </bookViews>
  <sheets>
    <sheet name="Types" sheetId="1" r:id="rId1"/>
    <sheet name="Profiles" sheetId="4" r:id="rId2"/>
    <sheet name="SumByHours" sheetId="6" r:id="rId3"/>
    <sheet name="Coefficient_2020" sheetId="2" r:id="rId4"/>
  </sheets>
  <definedNames>
    <definedName name="_xlnm._FilterDatabase" localSheetId="1" hidden="1">Profiles!#REF!</definedName>
    <definedName name="_xlnm._FilterDatabase" localSheetId="0" hidden="1">Types!#REF!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5" i="2" l="1"/>
  <c r="T25" i="2"/>
  <c r="S25" i="2"/>
  <c r="R25" i="2"/>
  <c r="Q25" i="2"/>
  <c r="P25" i="2"/>
  <c r="O25" i="2"/>
  <c r="N25" i="2"/>
  <c r="U24" i="2"/>
  <c r="T24" i="2"/>
  <c r="S24" i="2"/>
  <c r="R24" i="2"/>
  <c r="Q24" i="2"/>
  <c r="P24" i="2"/>
  <c r="O24" i="2"/>
  <c r="N24" i="2"/>
  <c r="U23" i="2"/>
  <c r="T23" i="2"/>
  <c r="S23" i="2"/>
  <c r="R23" i="2"/>
  <c r="Q23" i="2"/>
  <c r="P23" i="2"/>
  <c r="O23" i="2"/>
  <c r="N23" i="2"/>
  <c r="U22" i="2"/>
  <c r="T22" i="2"/>
  <c r="S22" i="2"/>
  <c r="R22" i="2"/>
  <c r="Q22" i="2"/>
  <c r="P22" i="2"/>
  <c r="O22" i="2"/>
  <c r="N22" i="2"/>
  <c r="U21" i="2"/>
  <c r="T21" i="2"/>
  <c r="S21" i="2"/>
  <c r="R21" i="2"/>
  <c r="Q21" i="2"/>
  <c r="P21" i="2"/>
  <c r="O21" i="2"/>
  <c r="N21" i="2"/>
  <c r="U20" i="2"/>
  <c r="T20" i="2"/>
  <c r="S20" i="2"/>
  <c r="R20" i="2"/>
  <c r="Q20" i="2"/>
  <c r="P20" i="2"/>
  <c r="O20" i="2"/>
  <c r="N20" i="2"/>
  <c r="U19" i="2"/>
  <c r="T19" i="2"/>
  <c r="S19" i="2"/>
  <c r="R19" i="2"/>
  <c r="Q19" i="2"/>
  <c r="P19" i="2"/>
  <c r="O19" i="2"/>
  <c r="N19" i="2"/>
  <c r="U18" i="2"/>
  <c r="T18" i="2"/>
  <c r="S18" i="2"/>
  <c r="R18" i="2"/>
  <c r="Q18" i="2"/>
  <c r="P18" i="2"/>
  <c r="O18" i="2"/>
  <c r="N18" i="2"/>
  <c r="U17" i="2"/>
  <c r="T17" i="2"/>
  <c r="S17" i="2"/>
  <c r="R17" i="2"/>
  <c r="Q17" i="2"/>
  <c r="P17" i="2"/>
  <c r="O17" i="2"/>
  <c r="N17" i="2"/>
  <c r="U16" i="2"/>
  <c r="T16" i="2"/>
  <c r="S16" i="2"/>
  <c r="R16" i="2"/>
  <c r="Q16" i="2"/>
  <c r="P16" i="2"/>
  <c r="O16" i="2"/>
  <c r="N16" i="2"/>
  <c r="U15" i="2"/>
  <c r="T15" i="2"/>
  <c r="S15" i="2"/>
  <c r="R15" i="2"/>
  <c r="Q15" i="2"/>
  <c r="P15" i="2"/>
  <c r="O15" i="2"/>
  <c r="N15" i="2"/>
  <c r="W15" i="2" s="1"/>
  <c r="X15" i="2" s="1"/>
  <c r="U14" i="2"/>
  <c r="T14" i="2"/>
  <c r="S14" i="2"/>
  <c r="R14" i="2"/>
  <c r="Q14" i="2"/>
  <c r="P14" i="2"/>
  <c r="O14" i="2"/>
  <c r="N14" i="2"/>
  <c r="W14" i="2" s="1"/>
  <c r="X14" i="2" s="1"/>
  <c r="U13" i="2"/>
  <c r="T13" i="2"/>
  <c r="S13" i="2"/>
  <c r="R13" i="2"/>
  <c r="Q13" i="2"/>
  <c r="P13" i="2"/>
  <c r="O13" i="2"/>
  <c r="N13" i="2"/>
  <c r="U12" i="2"/>
  <c r="T12" i="2"/>
  <c r="S12" i="2"/>
  <c r="R12" i="2"/>
  <c r="Q12" i="2"/>
  <c r="P12" i="2"/>
  <c r="O12" i="2"/>
  <c r="N12" i="2"/>
  <c r="U11" i="2"/>
  <c r="T11" i="2"/>
  <c r="S11" i="2"/>
  <c r="R11" i="2"/>
  <c r="Q11" i="2"/>
  <c r="P11" i="2"/>
  <c r="O11" i="2"/>
  <c r="N11" i="2"/>
  <c r="U10" i="2"/>
  <c r="T10" i="2"/>
  <c r="S10" i="2"/>
  <c r="R10" i="2"/>
  <c r="Q10" i="2"/>
  <c r="P10" i="2"/>
  <c r="O10" i="2"/>
  <c r="N10" i="2"/>
  <c r="W10" i="2" s="1"/>
  <c r="X10" i="2" s="1"/>
  <c r="U9" i="2"/>
  <c r="T9" i="2"/>
  <c r="S9" i="2"/>
  <c r="R9" i="2"/>
  <c r="Q9" i="2"/>
  <c r="P9" i="2"/>
  <c r="O9" i="2"/>
  <c r="N9" i="2"/>
  <c r="W9" i="2" s="1"/>
  <c r="X9" i="2" s="1"/>
  <c r="U8" i="2"/>
  <c r="T8" i="2"/>
  <c r="S8" i="2"/>
  <c r="W8" i="2" s="1"/>
  <c r="X8" i="2" s="1"/>
  <c r="R8" i="2"/>
  <c r="Q8" i="2"/>
  <c r="P8" i="2"/>
  <c r="O8" i="2"/>
  <c r="N8" i="2"/>
  <c r="U7" i="2"/>
  <c r="T7" i="2"/>
  <c r="S7" i="2"/>
  <c r="W7" i="2" s="1"/>
  <c r="X7" i="2" s="1"/>
  <c r="R7" i="2"/>
  <c r="Q7" i="2"/>
  <c r="P7" i="2"/>
  <c r="O7" i="2"/>
  <c r="N7" i="2"/>
  <c r="U6" i="2"/>
  <c r="T6" i="2"/>
  <c r="S6" i="2"/>
  <c r="W6" i="2" s="1"/>
  <c r="X6" i="2" s="1"/>
  <c r="R6" i="2"/>
  <c r="Q6" i="2"/>
  <c r="P6" i="2"/>
  <c r="O6" i="2"/>
  <c r="N6" i="2"/>
  <c r="U5" i="2"/>
  <c r="T5" i="2"/>
  <c r="S5" i="2"/>
  <c r="R5" i="2"/>
  <c r="Q5" i="2"/>
  <c r="P5" i="2"/>
  <c r="O5" i="2"/>
  <c r="N5" i="2"/>
  <c r="U4" i="2"/>
  <c r="T4" i="2"/>
  <c r="S4" i="2"/>
  <c r="R4" i="2"/>
  <c r="Q4" i="2"/>
  <c r="P4" i="2"/>
  <c r="O4" i="2"/>
  <c r="N4" i="2"/>
  <c r="U3" i="2"/>
  <c r="T3" i="2"/>
  <c r="S3" i="2"/>
  <c r="R3" i="2"/>
  <c r="Q3" i="2"/>
  <c r="P3" i="2"/>
  <c r="O3" i="2"/>
  <c r="N3" i="2"/>
  <c r="U2" i="2"/>
  <c r="T2" i="2"/>
  <c r="S2" i="2"/>
  <c r="R2" i="2"/>
  <c r="Q2" i="2"/>
  <c r="P2" i="2"/>
  <c r="O2" i="2"/>
  <c r="N2" i="2"/>
  <c r="W18" i="2"/>
  <c r="X18" i="2" s="1"/>
  <c r="W17" i="2"/>
  <c r="X17" i="2" s="1"/>
  <c r="W16" i="2"/>
  <c r="X16" i="2" s="1"/>
  <c r="W2" i="2"/>
  <c r="X2" i="2" s="1"/>
  <c r="W3" i="2" l="1"/>
  <c r="X3" i="2" s="1"/>
  <c r="W13" i="2"/>
  <c r="X13" i="2" s="1"/>
  <c r="W21" i="2"/>
  <c r="X21" i="2" s="1"/>
  <c r="W22" i="2"/>
  <c r="X22" i="2" s="1"/>
  <c r="W23" i="2"/>
  <c r="X23" i="2" s="1"/>
  <c r="W24" i="2"/>
  <c r="X24" i="2" s="1"/>
  <c r="W25" i="2"/>
  <c r="X25" i="2" s="1"/>
  <c r="W11" i="2"/>
  <c r="X11" i="2" s="1"/>
  <c r="W5" i="2"/>
  <c r="X5" i="2" s="1"/>
  <c r="W12" i="2"/>
  <c r="X12" i="2" s="1"/>
  <c r="W20" i="2"/>
  <c r="X20" i="2" s="1"/>
  <c r="W4" i="2"/>
  <c r="X4" i="2" s="1"/>
  <c r="W19" i="2"/>
  <c r="X19" i="2" s="1"/>
</calcChain>
</file>

<file path=xl/sharedStrings.xml><?xml version="1.0" encoding="utf-8"?>
<sst xmlns="http://schemas.openxmlformats.org/spreadsheetml/2006/main" count="44" uniqueCount="14">
  <si>
    <t>Дата</t>
  </si>
  <si>
    <t>Час</t>
  </si>
  <si>
    <t>B1</t>
  </si>
  <si>
    <t>B2</t>
  </si>
  <si>
    <t>B3</t>
  </si>
  <si>
    <t>B4</t>
  </si>
  <si>
    <t>B5</t>
  </si>
  <si>
    <t>H1</t>
  </si>
  <si>
    <t>H2</t>
  </si>
  <si>
    <t>S1</t>
  </si>
  <si>
    <t>месец</t>
  </si>
  <si>
    <t>първи/втори</t>
  </si>
  <si>
    <t>предпоследен/последен</t>
  </si>
  <si>
    <t>проверка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</si>
</sst>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14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Alignment="1">
      <alignment horizontal="center"/>
    </xf>
    <xf numFmtId="165" fontId="0" fillId="0" borderId="0" xfId="0" applyNumberFormat="1"/>
    <xf numFmtId="165" fontId="0" fillId="0" borderId="0" xfId="0" applyNumberFormat="1" applyFill="1"/>
    <xf numFmtId="0" fontId="0" fillId="2" borderId="0" xfId="0" applyFill="1"/>
  </cellXfs>
  <cellStyles count="2">
    <cellStyle name="Normal" xfId="0" builtinId="0"/>
    <cellStyle name="Normal 3" xfId="1" xr:uid="{35FD8B67-9D5E-4DFB-B6DE-AD4CF9506E2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8ADED-1074-42EF-B1D0-8302F189985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5BB4-E4DA-41E5-B57C-72DB09BCAF74}">
  <sheetPr codeName="Sheet5"/>
  <dimension ref="J1:K1"/>
  <sheetViews>
    <sheetView workbookViewId="0"/>
  </sheetViews>
  <sheetFormatPr defaultRowHeight="15" x14ac:dyDescent="0.25"/>
  <cols>
    <col min="10" max="11" width="9.140625" style="8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FA89-643A-41D9-A17E-2A4511B32B0F}">
  <sheetPr codeName="Sheet2"/>
  <dimension ref="A1:X49"/>
  <sheetViews>
    <sheetView tabSelected="1" workbookViewId="0">
      <pane ySplit="1" topLeftCell="A2" activePane="bottomLeft" state="frozen"/>
      <selection pane="bottomLeft" activeCell="M27" sqref="M27"/>
    </sheetView>
  </sheetViews>
  <sheetFormatPr defaultRowHeight="15" x14ac:dyDescent="0.25"/>
  <cols>
    <col min="1" max="1" width="10.140625" bestFit="1" customWidth="1"/>
    <col min="3" max="10" width="10.5703125" bestFit="1" customWidth="1"/>
    <col min="13" max="13" width="24.5703125" bestFit="1" customWidth="1"/>
  </cols>
  <sheetData>
    <row r="1" spans="1:24" x14ac:dyDescent="0.25">
      <c r="A1" s="1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L1" s="5" t="s">
        <v>10</v>
      </c>
      <c r="N1" s="5" t="s">
        <v>2</v>
      </c>
      <c r="O1" s="5" t="s">
        <v>3</v>
      </c>
      <c r="P1" s="5" t="s">
        <v>4</v>
      </c>
      <c r="Q1" s="5" t="s">
        <v>5</v>
      </c>
      <c r="R1" s="5" t="s">
        <v>6</v>
      </c>
      <c r="S1" s="5" t="s">
        <v>7</v>
      </c>
      <c r="T1" s="5" t="s">
        <v>8</v>
      </c>
      <c r="U1" s="5" t="s">
        <v>9</v>
      </c>
      <c r="W1" s="5" t="s">
        <v>13</v>
      </c>
    </row>
    <row r="2" spans="1:24" x14ac:dyDescent="0.25">
      <c r="A2" s="1">
        <v>44197</v>
      </c>
      <c r="B2" s="2">
        <v>4.1666666666666664E-2</v>
      </c>
      <c r="C2" s="6">
        <v>1.03415E-3</v>
      </c>
      <c r="D2" s="6">
        <v>1.46535E-3</v>
      </c>
      <c r="E2" s="6">
        <v>8.5740999999999996E-4</v>
      </c>
      <c r="F2" s="6">
        <v>9.2964000000000002E-4</v>
      </c>
      <c r="G2" s="6">
        <v>1.25511E-3</v>
      </c>
      <c r="H2" s="6">
        <v>1.5324099999999999E-3</v>
      </c>
      <c r="I2" s="6">
        <v>1.98694E-3</v>
      </c>
      <c r="J2" s="6">
        <v>2.3585899999999998E-3</v>
      </c>
      <c r="L2">
        <v>1</v>
      </c>
      <c r="M2" t="s">
        <v>11</v>
      </c>
      <c r="N2" s="6">
        <f t="shared" ref="N2:U2" si="0">ROUND(C2/C3,4)</f>
        <v>1.1795</v>
      </c>
      <c r="O2" s="6">
        <f t="shared" si="0"/>
        <v>1.1451</v>
      </c>
      <c r="P2" s="6">
        <f t="shared" si="0"/>
        <v>0.99519999999999997</v>
      </c>
      <c r="Q2" s="6">
        <f t="shared" si="0"/>
        <v>1.0253000000000001</v>
      </c>
      <c r="R2" s="6">
        <f t="shared" si="0"/>
        <v>1.008</v>
      </c>
      <c r="S2" s="6">
        <f t="shared" si="0"/>
        <v>1.0940000000000001</v>
      </c>
      <c r="T2" s="6">
        <f t="shared" si="0"/>
        <v>1.0625</v>
      </c>
      <c r="U2" s="6">
        <f t="shared" si="0"/>
        <v>1</v>
      </c>
      <c r="W2" s="6" t="str">
        <f>IFERROR(MODE(N2:U2),"ok")</f>
        <v>ok</v>
      </c>
      <c r="X2">
        <f>COUNTIF(N2:U2,W2)</f>
        <v>0</v>
      </c>
    </row>
    <row r="3" spans="1:24" x14ac:dyDescent="0.25">
      <c r="A3" s="1">
        <v>44197</v>
      </c>
      <c r="B3" s="2">
        <v>8.3333333333333329E-2</v>
      </c>
      <c r="C3" s="6">
        <v>8.7679000000000001E-4</v>
      </c>
      <c r="D3" s="6">
        <v>1.27966E-3</v>
      </c>
      <c r="E3" s="6">
        <v>8.6151999999999995E-4</v>
      </c>
      <c r="F3" s="6">
        <v>9.0669000000000003E-4</v>
      </c>
      <c r="G3" s="6">
        <v>1.24514E-3</v>
      </c>
      <c r="H3" s="6">
        <v>1.40073E-3</v>
      </c>
      <c r="I3" s="6">
        <v>1.87014E-3</v>
      </c>
      <c r="J3" s="6">
        <v>2.3585899999999998E-3</v>
      </c>
      <c r="L3">
        <v>1</v>
      </c>
      <c r="M3" t="s">
        <v>12</v>
      </c>
      <c r="N3" s="6">
        <f t="shared" ref="N3:U3" si="1">ROUND(C4/C5,4)</f>
        <v>1.0261</v>
      </c>
      <c r="O3" s="6">
        <f t="shared" si="1"/>
        <v>1.1211</v>
      </c>
      <c r="P3" s="6">
        <f t="shared" si="1"/>
        <v>1.0222</v>
      </c>
      <c r="Q3" s="6">
        <f t="shared" si="1"/>
        <v>1.0390999999999999</v>
      </c>
      <c r="R3" s="6">
        <f t="shared" si="1"/>
        <v>1.1323000000000001</v>
      </c>
      <c r="S3" s="6">
        <f t="shared" si="1"/>
        <v>1.0084</v>
      </c>
      <c r="T3" s="6">
        <f t="shared" si="1"/>
        <v>1.1897</v>
      </c>
      <c r="U3" s="6">
        <f t="shared" si="1"/>
        <v>1</v>
      </c>
      <c r="W3" s="6" t="str">
        <f t="shared" ref="W3:W25" si="2">IFERROR(MODE(N3:U3),"ok")</f>
        <v>ok</v>
      </c>
      <c r="X3">
        <f t="shared" ref="X3:X25" si="3">COUNTIF(N3:U3,W3)</f>
        <v>0</v>
      </c>
    </row>
    <row r="4" spans="1:24" x14ac:dyDescent="0.25">
      <c r="A4" s="1">
        <v>44227</v>
      </c>
      <c r="B4" s="2">
        <v>0.95833333333333337</v>
      </c>
      <c r="C4" s="6">
        <v>1.4797499999999999E-3</v>
      </c>
      <c r="D4" s="6">
        <v>1.30565E-3</v>
      </c>
      <c r="E4" s="6">
        <v>9.7948000000000002E-4</v>
      </c>
      <c r="F4" s="6">
        <v>1.17887E-3</v>
      </c>
      <c r="G4" s="6">
        <v>1.01596E-3</v>
      </c>
      <c r="H4" s="6">
        <v>1.45739E-3</v>
      </c>
      <c r="I4" s="6">
        <v>1.8012099999999999E-3</v>
      </c>
      <c r="J4" s="6">
        <v>2.3165799999999999E-3</v>
      </c>
      <c r="L4">
        <v>2</v>
      </c>
      <c r="M4" t="s">
        <v>11</v>
      </c>
      <c r="N4" s="6">
        <f t="shared" ref="N4:U4" si="4">ROUND(C6/C7,4)</f>
        <v>0.99070000000000003</v>
      </c>
      <c r="O4" s="6">
        <f t="shared" si="4"/>
        <v>1.0290999999999999</v>
      </c>
      <c r="P4" s="6">
        <f t="shared" si="4"/>
        <v>1.0126999999999999</v>
      </c>
      <c r="Q4" s="6">
        <f t="shared" si="4"/>
        <v>1.0269999999999999</v>
      </c>
      <c r="R4" s="6">
        <f t="shared" si="4"/>
        <v>1.0287999999999999</v>
      </c>
      <c r="S4" s="6">
        <f t="shared" si="4"/>
        <v>1.1597</v>
      </c>
      <c r="T4" s="6">
        <f t="shared" si="4"/>
        <v>1.1085</v>
      </c>
      <c r="U4" s="6">
        <f t="shared" si="4"/>
        <v>1</v>
      </c>
      <c r="W4" s="6" t="str">
        <f t="shared" si="2"/>
        <v>ok</v>
      </c>
      <c r="X4">
        <f t="shared" si="3"/>
        <v>0</v>
      </c>
    </row>
    <row r="5" spans="1:24" x14ac:dyDescent="0.25">
      <c r="A5" s="1">
        <v>44228</v>
      </c>
      <c r="B5" s="2">
        <v>0</v>
      </c>
      <c r="C5" s="6">
        <v>1.4421400000000002E-3</v>
      </c>
      <c r="D5" s="6">
        <v>1.16464E-3</v>
      </c>
      <c r="E5" s="6">
        <v>9.5817999999999999E-4</v>
      </c>
      <c r="F5" s="6">
        <v>1.1344600000000001E-3</v>
      </c>
      <c r="G5" s="6">
        <v>8.9728999999999991E-4</v>
      </c>
      <c r="H5" s="6">
        <v>1.4453000000000001E-3</v>
      </c>
      <c r="I5" s="6">
        <v>1.5140100000000001E-3</v>
      </c>
      <c r="J5" s="6">
        <v>2.3165799999999999E-3</v>
      </c>
      <c r="L5">
        <v>2</v>
      </c>
      <c r="M5" t="s">
        <v>12</v>
      </c>
      <c r="N5" s="6">
        <f t="shared" ref="N5:U5" si="5">ROUND(C8/C9,4)</f>
        <v>0.96079999999999999</v>
      </c>
      <c r="O5" s="6">
        <f t="shared" si="5"/>
        <v>1.1422000000000001</v>
      </c>
      <c r="P5" s="6">
        <f t="shared" si="5"/>
        <v>1.0119</v>
      </c>
      <c r="Q5" s="6">
        <f t="shared" si="5"/>
        <v>1.0247999999999999</v>
      </c>
      <c r="R5" s="6">
        <f t="shared" si="5"/>
        <v>1.0846</v>
      </c>
      <c r="S5" s="6">
        <f t="shared" si="5"/>
        <v>1.0273000000000001</v>
      </c>
      <c r="T5" s="6">
        <f t="shared" si="5"/>
        <v>1.1505000000000001</v>
      </c>
      <c r="U5" s="6">
        <f t="shared" si="5"/>
        <v>1</v>
      </c>
      <c r="W5" s="6" t="str">
        <f t="shared" si="2"/>
        <v>ok</v>
      </c>
      <c r="X5">
        <f t="shared" si="3"/>
        <v>0</v>
      </c>
    </row>
    <row r="6" spans="1:24" x14ac:dyDescent="0.25">
      <c r="A6" s="1">
        <v>44228</v>
      </c>
      <c r="B6" s="2">
        <v>4.1666666666666664E-2</v>
      </c>
      <c r="C6" s="6">
        <v>1.6254100000000001E-3</v>
      </c>
      <c r="D6" s="6">
        <v>1.2701500000000001E-3</v>
      </c>
      <c r="E6" s="6">
        <v>1.0425300000000001E-3</v>
      </c>
      <c r="F6" s="6">
        <v>1.21904E-3</v>
      </c>
      <c r="G6" s="6">
        <v>9.3904999999999998E-4</v>
      </c>
      <c r="H6" s="6">
        <v>1.3519199999999999E-3</v>
      </c>
      <c r="I6" s="6">
        <v>1.4194800000000001E-3</v>
      </c>
      <c r="J6" s="6">
        <v>2.3165799999999999E-3</v>
      </c>
      <c r="L6">
        <v>3</v>
      </c>
      <c r="M6" t="s">
        <v>11</v>
      </c>
      <c r="N6" s="6">
        <f t="shared" ref="N6:U6" si="6">ROUND(C10/C11,4)</f>
        <v>0.9506</v>
      </c>
      <c r="O6" s="6">
        <f t="shared" si="6"/>
        <v>0.9486</v>
      </c>
      <c r="P6" s="6">
        <f t="shared" si="6"/>
        <v>1.0142</v>
      </c>
      <c r="Q6" s="6">
        <f t="shared" si="6"/>
        <v>1.0278</v>
      </c>
      <c r="R6" s="6">
        <f t="shared" si="6"/>
        <v>1.0250999999999999</v>
      </c>
      <c r="S6" s="6">
        <f t="shared" si="6"/>
        <v>1.1620999999999999</v>
      </c>
      <c r="T6" s="6">
        <f t="shared" si="6"/>
        <v>1.2988999999999999</v>
      </c>
      <c r="U6" s="6">
        <f t="shared" si="6"/>
        <v>1</v>
      </c>
      <c r="W6" s="6" t="str">
        <f t="shared" si="2"/>
        <v>ok</v>
      </c>
      <c r="X6">
        <f t="shared" si="3"/>
        <v>0</v>
      </c>
    </row>
    <row r="7" spans="1:24" x14ac:dyDescent="0.25">
      <c r="A7" s="1">
        <v>44228</v>
      </c>
      <c r="B7" s="2">
        <v>8.3333333333333329E-2</v>
      </c>
      <c r="C7" s="6">
        <v>1.6406299999999999E-3</v>
      </c>
      <c r="D7" s="6">
        <v>1.2342900000000001E-3</v>
      </c>
      <c r="E7" s="6">
        <v>1.0294099999999999E-3</v>
      </c>
      <c r="F7" s="6">
        <v>1.1869999999999999E-3</v>
      </c>
      <c r="G7" s="6">
        <v>9.1277000000000003E-4</v>
      </c>
      <c r="H7" s="6">
        <v>1.16573E-3</v>
      </c>
      <c r="I7" s="6">
        <v>1.2805099999999999E-3</v>
      </c>
      <c r="J7" s="6">
        <v>2.3165799999999999E-3</v>
      </c>
      <c r="L7">
        <v>3</v>
      </c>
      <c r="M7" t="s">
        <v>12</v>
      </c>
      <c r="N7" s="6">
        <f t="shared" ref="N7:U7" si="7">ROUND(C12/C13,4)</f>
        <v>1.0256000000000001</v>
      </c>
      <c r="O7" s="6">
        <f t="shared" si="7"/>
        <v>1.0311999999999999</v>
      </c>
      <c r="P7" s="6">
        <f t="shared" si="7"/>
        <v>1.0337000000000001</v>
      </c>
      <c r="Q7" s="6">
        <f t="shared" si="7"/>
        <v>1.0415000000000001</v>
      </c>
      <c r="R7" s="6">
        <f t="shared" si="7"/>
        <v>1.1763999999999999</v>
      </c>
      <c r="S7" s="6">
        <f t="shared" si="7"/>
        <v>1.0995999999999999</v>
      </c>
      <c r="T7" s="6">
        <f t="shared" si="7"/>
        <v>1.1112</v>
      </c>
      <c r="U7" s="6">
        <f t="shared" si="7"/>
        <v>1</v>
      </c>
      <c r="W7" s="6" t="str">
        <f t="shared" si="2"/>
        <v>ok</v>
      </c>
      <c r="X7">
        <f t="shared" si="3"/>
        <v>0</v>
      </c>
    </row>
    <row r="8" spans="1:24" x14ac:dyDescent="0.25">
      <c r="A8" s="1">
        <v>44255</v>
      </c>
      <c r="B8" s="2">
        <v>0.95833333333333337</v>
      </c>
      <c r="C8" s="6">
        <v>1.5918200000000001E-3</v>
      </c>
      <c r="D8" s="6">
        <v>1.3109300000000001E-3</v>
      </c>
      <c r="E8" s="6">
        <v>1.06434E-3</v>
      </c>
      <c r="F8" s="6">
        <v>1.30368E-3</v>
      </c>
      <c r="G8" s="6">
        <v>1.09768E-3</v>
      </c>
      <c r="H8" s="6">
        <v>1.63434E-3</v>
      </c>
      <c r="I8" s="6">
        <v>1.8603599999999999E-3</v>
      </c>
      <c r="J8" s="6">
        <v>2.8344199999999998E-3</v>
      </c>
      <c r="L8">
        <v>4</v>
      </c>
      <c r="M8" t="s">
        <v>11</v>
      </c>
      <c r="N8" s="6">
        <f t="shared" ref="N8:U8" si="8">ROUND(C14/C15,4)</f>
        <v>1.0427</v>
      </c>
      <c r="O8" s="6">
        <f t="shared" si="8"/>
        <v>0.97750000000000004</v>
      </c>
      <c r="P8" s="6">
        <f t="shared" si="8"/>
        <v>0.93269999999999997</v>
      </c>
      <c r="Q8" s="6">
        <f t="shared" si="8"/>
        <v>1.0822000000000001</v>
      </c>
      <c r="R8" s="6">
        <f t="shared" si="8"/>
        <v>1.1088</v>
      </c>
      <c r="S8" s="6">
        <f t="shared" si="8"/>
        <v>1.1751</v>
      </c>
      <c r="T8" s="6">
        <f t="shared" si="8"/>
        <v>1.2302999999999999</v>
      </c>
      <c r="U8" s="6">
        <f t="shared" si="8"/>
        <v>1</v>
      </c>
      <c r="W8" s="6" t="str">
        <f t="shared" si="2"/>
        <v>ok</v>
      </c>
      <c r="X8">
        <f t="shared" si="3"/>
        <v>0</v>
      </c>
    </row>
    <row r="9" spans="1:24" x14ac:dyDescent="0.25">
      <c r="A9" s="1">
        <v>44256</v>
      </c>
      <c r="B9" s="2">
        <v>0</v>
      </c>
      <c r="C9" s="6">
        <v>1.65683E-3</v>
      </c>
      <c r="D9" s="6">
        <v>1.14773E-3</v>
      </c>
      <c r="E9" s="6">
        <v>1.05182E-3</v>
      </c>
      <c r="F9" s="6">
        <v>1.2720799999999999E-3</v>
      </c>
      <c r="G9" s="6">
        <v>1.0120800000000001E-3</v>
      </c>
      <c r="H9" s="6">
        <v>1.5908700000000001E-3</v>
      </c>
      <c r="I9" s="6">
        <v>1.6169699999999999E-3</v>
      </c>
      <c r="J9" s="6">
        <v>2.8344199999999998E-3</v>
      </c>
      <c r="L9">
        <v>4</v>
      </c>
      <c r="M9" t="s">
        <v>12</v>
      </c>
      <c r="N9" s="6">
        <f t="shared" ref="N9:U9" si="9">ROUND(C16/C17,4)</f>
        <v>0.91610000000000003</v>
      </c>
      <c r="O9" s="6">
        <f t="shared" si="9"/>
        <v>0.9405</v>
      </c>
      <c r="P9" s="6">
        <f t="shared" si="9"/>
        <v>1.0008999999999999</v>
      </c>
      <c r="Q9" s="6">
        <f t="shared" si="9"/>
        <v>0.99209999999999998</v>
      </c>
      <c r="R9" s="6">
        <f t="shared" si="9"/>
        <v>1.1365000000000001</v>
      </c>
      <c r="S9" s="6">
        <f t="shared" si="9"/>
        <v>1.1229</v>
      </c>
      <c r="T9" s="6">
        <f t="shared" si="9"/>
        <v>1.1541999999999999</v>
      </c>
      <c r="U9" s="6">
        <f t="shared" si="9"/>
        <v>1</v>
      </c>
      <c r="W9" s="6" t="str">
        <f t="shared" si="2"/>
        <v>ok</v>
      </c>
      <c r="X9">
        <f t="shared" si="3"/>
        <v>0</v>
      </c>
    </row>
    <row r="10" spans="1:24" x14ac:dyDescent="0.25">
      <c r="A10" s="1">
        <v>44256</v>
      </c>
      <c r="B10" s="2">
        <v>4.1666666666666664E-2</v>
      </c>
      <c r="C10" s="6">
        <v>1.4714999999999999E-3</v>
      </c>
      <c r="D10" s="6">
        <v>1.1047299999999999E-3</v>
      </c>
      <c r="E10" s="6">
        <v>1.2800999999999999E-3</v>
      </c>
      <c r="F10" s="6">
        <v>1.13335E-3</v>
      </c>
      <c r="G10" s="6">
        <v>8.7708000000000003E-4</v>
      </c>
      <c r="H10" s="6">
        <v>1.1536199999999999E-3</v>
      </c>
      <c r="I10" s="6">
        <v>1.3603700000000001E-3</v>
      </c>
      <c r="J10" s="6">
        <v>2.7444499999999998E-3</v>
      </c>
      <c r="L10">
        <v>5</v>
      </c>
      <c r="M10" t="s">
        <v>11</v>
      </c>
      <c r="N10" s="6">
        <f t="shared" ref="N10:U10" si="10">ROUND(C18/C19,4)</f>
        <v>1.1313</v>
      </c>
      <c r="O10" s="6">
        <f t="shared" si="10"/>
        <v>1.1351</v>
      </c>
      <c r="P10" s="6">
        <f t="shared" si="10"/>
        <v>1.0012000000000001</v>
      </c>
      <c r="Q10" s="6">
        <f t="shared" si="10"/>
        <v>1.0022</v>
      </c>
      <c r="R10" s="6">
        <f t="shared" si="10"/>
        <v>1.1176999999999999</v>
      </c>
      <c r="S10" s="6">
        <f t="shared" si="10"/>
        <v>1.2611000000000001</v>
      </c>
      <c r="T10" s="6">
        <f t="shared" si="10"/>
        <v>1.2250000000000001</v>
      </c>
      <c r="U10" s="6">
        <f t="shared" si="10"/>
        <v>1</v>
      </c>
      <c r="W10" s="6" t="str">
        <f t="shared" si="2"/>
        <v>ok</v>
      </c>
      <c r="X10">
        <f t="shared" si="3"/>
        <v>0</v>
      </c>
    </row>
    <row r="11" spans="1:24" x14ac:dyDescent="0.25">
      <c r="A11" s="1">
        <v>44256</v>
      </c>
      <c r="B11" s="2">
        <v>8.3333333333333329E-2</v>
      </c>
      <c r="C11" s="6">
        <v>1.5479999999999999E-3</v>
      </c>
      <c r="D11" s="6">
        <v>1.1645399999999999E-3</v>
      </c>
      <c r="E11" s="6">
        <v>1.2622200000000001E-3</v>
      </c>
      <c r="F11" s="6">
        <v>1.10267E-3</v>
      </c>
      <c r="G11" s="6">
        <v>8.5561999999999997E-4</v>
      </c>
      <c r="H11" s="6">
        <v>9.9273999999999999E-4</v>
      </c>
      <c r="I11" s="6">
        <v>1.04732E-3</v>
      </c>
      <c r="J11" s="6">
        <v>2.7444499999999998E-3</v>
      </c>
      <c r="L11">
        <v>5</v>
      </c>
      <c r="M11" t="s">
        <v>12</v>
      </c>
      <c r="N11" s="6">
        <f t="shared" ref="N11:U11" si="11">ROUND(C20/C21,4)</f>
        <v>0.96389999999999998</v>
      </c>
      <c r="O11" s="6">
        <f t="shared" si="11"/>
        <v>1.0032000000000001</v>
      </c>
      <c r="P11" s="6">
        <f t="shared" si="11"/>
        <v>1.1052999999999999</v>
      </c>
      <c r="Q11" s="6">
        <f t="shared" si="11"/>
        <v>1.0904</v>
      </c>
      <c r="R11" s="6">
        <f t="shared" si="11"/>
        <v>1.1564000000000001</v>
      </c>
      <c r="S11" s="6">
        <f t="shared" si="11"/>
        <v>1.1081000000000001</v>
      </c>
      <c r="T11" s="6">
        <f t="shared" si="11"/>
        <v>1.4622999999999999</v>
      </c>
      <c r="U11" s="6">
        <f t="shared" si="11"/>
        <v>1</v>
      </c>
      <c r="W11" s="6" t="str">
        <f t="shared" si="2"/>
        <v>ok</v>
      </c>
      <c r="X11">
        <f t="shared" si="3"/>
        <v>0</v>
      </c>
    </row>
    <row r="12" spans="1:24" x14ac:dyDescent="0.25">
      <c r="A12" s="1">
        <v>44286</v>
      </c>
      <c r="B12" s="2">
        <v>0.95833333333333337</v>
      </c>
      <c r="C12" s="6">
        <v>1.52479E-3</v>
      </c>
      <c r="D12" s="6">
        <v>1.09351E-3</v>
      </c>
      <c r="E12" s="6">
        <v>9.1330000000000003E-4</v>
      </c>
      <c r="F12" s="6">
        <v>1.02732E-3</v>
      </c>
      <c r="G12" s="6">
        <v>1.1867900000000001E-3</v>
      </c>
      <c r="H12" s="6">
        <v>1.5700899999999999E-3</v>
      </c>
      <c r="I12" s="6">
        <v>2.1691599999999998E-3</v>
      </c>
      <c r="J12" s="6">
        <v>2.8477400000000001E-3</v>
      </c>
      <c r="L12">
        <v>6</v>
      </c>
      <c r="M12" t="s">
        <v>11</v>
      </c>
      <c r="N12" s="6">
        <f t="shared" ref="N12:U12" si="12">ROUND(C22/C23,4)</f>
        <v>1.0021</v>
      </c>
      <c r="O12" s="6">
        <f t="shared" si="12"/>
        <v>1.0743</v>
      </c>
      <c r="P12" s="6">
        <f t="shared" si="12"/>
        <v>1.0366</v>
      </c>
      <c r="Q12" s="6">
        <f t="shared" si="12"/>
        <v>1.0561</v>
      </c>
      <c r="R12" s="6">
        <f t="shared" si="12"/>
        <v>1.1315999999999999</v>
      </c>
      <c r="S12" s="6">
        <f t="shared" si="12"/>
        <v>1.4142999999999999</v>
      </c>
      <c r="T12" s="6">
        <f t="shared" si="12"/>
        <v>1.1147</v>
      </c>
      <c r="U12" s="6">
        <f t="shared" si="12"/>
        <v>1</v>
      </c>
      <c r="W12" s="6" t="str">
        <f t="shared" si="2"/>
        <v>ok</v>
      </c>
      <c r="X12">
        <f t="shared" si="3"/>
        <v>0</v>
      </c>
    </row>
    <row r="13" spans="1:24" x14ac:dyDescent="0.25">
      <c r="A13" s="1">
        <v>44287</v>
      </c>
      <c r="B13" s="2">
        <v>0</v>
      </c>
      <c r="C13" s="6">
        <v>1.48668E-3</v>
      </c>
      <c r="D13" s="6">
        <v>1.06047E-3</v>
      </c>
      <c r="E13" s="6">
        <v>8.8350000000000006E-4</v>
      </c>
      <c r="F13" s="6">
        <v>9.8635999999999993E-4</v>
      </c>
      <c r="G13" s="6">
        <v>1.00887E-3</v>
      </c>
      <c r="H13" s="6">
        <v>1.4278800000000001E-3</v>
      </c>
      <c r="I13" s="6">
        <v>1.9520400000000002E-3</v>
      </c>
      <c r="J13" s="6">
        <v>2.8477400000000001E-3</v>
      </c>
      <c r="L13">
        <v>6</v>
      </c>
      <c r="M13" t="s">
        <v>12</v>
      </c>
      <c r="N13" s="6">
        <f t="shared" ref="N13:U13" si="13">ROUND(C24/C25,4)</f>
        <v>1.0029999999999999</v>
      </c>
      <c r="O13" s="6">
        <f t="shared" si="13"/>
        <v>0.83179999999999998</v>
      </c>
      <c r="P13" s="6">
        <f t="shared" si="13"/>
        <v>1.1432</v>
      </c>
      <c r="Q13" s="6">
        <f t="shared" si="13"/>
        <v>1.0741000000000001</v>
      </c>
      <c r="R13" s="6">
        <f t="shared" si="13"/>
        <v>1.2417</v>
      </c>
      <c r="S13" s="6">
        <f t="shared" si="13"/>
        <v>1.1076999999999999</v>
      </c>
      <c r="T13" s="6">
        <f t="shared" si="13"/>
        <v>1.3077000000000001</v>
      </c>
      <c r="U13" s="6">
        <f t="shared" si="13"/>
        <v>1</v>
      </c>
      <c r="W13" s="6" t="str">
        <f t="shared" si="2"/>
        <v>ok</v>
      </c>
      <c r="X13">
        <f t="shared" si="3"/>
        <v>0</v>
      </c>
    </row>
    <row r="14" spans="1:24" x14ac:dyDescent="0.25">
      <c r="A14" s="1">
        <v>44287</v>
      </c>
      <c r="B14" s="2">
        <v>4.1666666666666664E-2</v>
      </c>
      <c r="C14" s="6">
        <v>1.6152E-3</v>
      </c>
      <c r="D14" s="6">
        <v>1.2787499999999999E-3</v>
      </c>
      <c r="E14" s="6">
        <v>8.2437999999999999E-4</v>
      </c>
      <c r="F14" s="6">
        <v>1.0892300000000001E-3</v>
      </c>
      <c r="G14" s="6">
        <v>1.0152900000000001E-3</v>
      </c>
      <c r="H14" s="6">
        <v>1.2640800000000001E-3</v>
      </c>
      <c r="I14" s="6">
        <v>1.2820399999999999E-3</v>
      </c>
      <c r="J14" s="6">
        <v>2.8477400000000001E-3</v>
      </c>
      <c r="L14">
        <v>7</v>
      </c>
      <c r="M14" t="s">
        <v>11</v>
      </c>
      <c r="N14" s="6">
        <f t="shared" ref="N14:U14" si="14">ROUND(C26/C27,4)</f>
        <v>1.0545</v>
      </c>
      <c r="O14" s="6">
        <f t="shared" si="14"/>
        <v>1.121</v>
      </c>
      <c r="P14" s="6">
        <f t="shared" si="14"/>
        <v>1.048</v>
      </c>
      <c r="Q14" s="6">
        <f t="shared" si="14"/>
        <v>1.0350999999999999</v>
      </c>
      <c r="R14" s="6">
        <f t="shared" si="14"/>
        <v>1.0869</v>
      </c>
      <c r="S14" s="6">
        <f t="shared" si="14"/>
        <v>1.3934</v>
      </c>
      <c r="T14" s="6">
        <f t="shared" si="14"/>
        <v>1.3686</v>
      </c>
      <c r="U14" s="6">
        <f t="shared" si="14"/>
        <v>1</v>
      </c>
      <c r="W14" s="6" t="str">
        <f t="shared" si="2"/>
        <v>ok</v>
      </c>
      <c r="X14">
        <f t="shared" si="3"/>
        <v>0</v>
      </c>
    </row>
    <row r="15" spans="1:24" x14ac:dyDescent="0.25">
      <c r="A15" s="1">
        <v>44287</v>
      </c>
      <c r="B15" s="2">
        <v>8.3333333333333329E-2</v>
      </c>
      <c r="C15" s="6">
        <v>1.5490300000000001E-3</v>
      </c>
      <c r="D15" s="6">
        <v>1.30824E-3</v>
      </c>
      <c r="E15" s="6">
        <v>8.8389000000000002E-4</v>
      </c>
      <c r="F15" s="6">
        <v>1.00646E-3</v>
      </c>
      <c r="G15" s="6">
        <v>9.1569999999999998E-4</v>
      </c>
      <c r="H15" s="6">
        <v>1.07569E-3</v>
      </c>
      <c r="I15" s="6">
        <v>1.0420500000000001E-3</v>
      </c>
      <c r="J15" s="6">
        <v>2.8477400000000001E-3</v>
      </c>
      <c r="L15">
        <v>7</v>
      </c>
      <c r="M15" t="s">
        <v>12</v>
      </c>
      <c r="N15" s="6">
        <f t="shared" ref="N15:U15" si="15">ROUND(C28/C29,4)</f>
        <v>1.0754999999999999</v>
      </c>
      <c r="O15" s="6">
        <f t="shared" si="15"/>
        <v>0.9677</v>
      </c>
      <c r="P15" s="6">
        <f t="shared" si="15"/>
        <v>1.0046999999999999</v>
      </c>
      <c r="Q15" s="6">
        <f t="shared" si="15"/>
        <v>1.0507</v>
      </c>
      <c r="R15" s="6">
        <f t="shared" si="15"/>
        <v>1.1093</v>
      </c>
      <c r="S15" s="6">
        <f t="shared" si="15"/>
        <v>0.97170000000000001</v>
      </c>
      <c r="T15" s="6">
        <f t="shared" si="15"/>
        <v>1.2128000000000001</v>
      </c>
      <c r="U15" s="6">
        <f t="shared" si="15"/>
        <v>1</v>
      </c>
      <c r="W15" s="6" t="str">
        <f t="shared" si="2"/>
        <v>ok</v>
      </c>
      <c r="X15">
        <f t="shared" si="3"/>
        <v>0</v>
      </c>
    </row>
    <row r="16" spans="1:24" x14ac:dyDescent="0.25">
      <c r="A16" s="1">
        <v>44316</v>
      </c>
      <c r="B16" s="2">
        <v>0.95833333333333337</v>
      </c>
      <c r="C16" s="6">
        <v>1.5583800000000001E-3</v>
      </c>
      <c r="D16" s="6">
        <v>1.24401E-3</v>
      </c>
      <c r="E16" s="6">
        <v>7.3923999999999995E-4</v>
      </c>
      <c r="F16" s="6">
        <v>1.2513100000000001E-3</v>
      </c>
      <c r="G16" s="6">
        <v>1.5943800000000001E-3</v>
      </c>
      <c r="H16" s="6">
        <v>1.7411499999999999E-3</v>
      </c>
      <c r="I16" s="6">
        <v>2.1140600000000001E-3</v>
      </c>
      <c r="J16" s="6">
        <v>3.4720100000000002E-3</v>
      </c>
      <c r="L16">
        <v>8</v>
      </c>
      <c r="M16" t="s">
        <v>11</v>
      </c>
      <c r="N16" s="6">
        <f t="shared" ref="N16:U16" si="16">ROUND(C30/C31,4)</f>
        <v>1.0368999999999999</v>
      </c>
      <c r="O16" s="6">
        <f t="shared" si="16"/>
        <v>1.0558000000000001</v>
      </c>
      <c r="P16" s="6">
        <f t="shared" si="16"/>
        <v>1.0349999999999999</v>
      </c>
      <c r="Q16" s="6">
        <f t="shared" si="16"/>
        <v>1.0865</v>
      </c>
      <c r="R16" s="6">
        <f t="shared" si="16"/>
        <v>1.1049</v>
      </c>
      <c r="S16" s="6">
        <f t="shared" si="16"/>
        <v>1.4351</v>
      </c>
      <c r="T16" s="6">
        <f t="shared" si="16"/>
        <v>1.278</v>
      </c>
      <c r="U16" s="6">
        <f t="shared" si="16"/>
        <v>1</v>
      </c>
      <c r="W16" s="6" t="str">
        <f t="shared" si="2"/>
        <v>ok</v>
      </c>
      <c r="X16">
        <f t="shared" si="3"/>
        <v>0</v>
      </c>
    </row>
    <row r="17" spans="1:24" x14ac:dyDescent="0.25">
      <c r="A17" s="1">
        <v>44317</v>
      </c>
      <c r="B17" s="2">
        <v>0</v>
      </c>
      <c r="C17" s="6">
        <v>1.70104E-3</v>
      </c>
      <c r="D17" s="6">
        <v>1.3227500000000001E-3</v>
      </c>
      <c r="E17" s="6">
        <v>7.3856999999999992E-4</v>
      </c>
      <c r="F17" s="6">
        <v>1.2613000000000001E-3</v>
      </c>
      <c r="G17" s="6">
        <v>1.4028300000000001E-3</v>
      </c>
      <c r="H17" s="6">
        <v>1.5506399999999998E-3</v>
      </c>
      <c r="I17" s="6">
        <v>1.8316199999999999E-3</v>
      </c>
      <c r="J17" s="6">
        <v>3.4720100000000002E-3</v>
      </c>
      <c r="L17">
        <v>8</v>
      </c>
      <c r="M17" t="s">
        <v>12</v>
      </c>
      <c r="N17" s="6">
        <f t="shared" ref="N17:U17" si="17">ROUND(C32/C33,4)</f>
        <v>0.9546</v>
      </c>
      <c r="O17" s="6">
        <f t="shared" si="17"/>
        <v>0.96460000000000001</v>
      </c>
      <c r="P17" s="6">
        <f t="shared" si="17"/>
        <v>1.1495</v>
      </c>
      <c r="Q17" s="6">
        <f t="shared" si="17"/>
        <v>1.0729</v>
      </c>
      <c r="R17" s="6">
        <f t="shared" si="17"/>
        <v>1.1722999999999999</v>
      </c>
      <c r="S17" s="6">
        <f t="shared" si="17"/>
        <v>0.96050000000000002</v>
      </c>
      <c r="T17" s="6">
        <f t="shared" si="17"/>
        <v>1.1277999999999999</v>
      </c>
      <c r="U17" s="6">
        <f t="shared" si="17"/>
        <v>1</v>
      </c>
      <c r="W17" s="6" t="str">
        <f t="shared" si="2"/>
        <v>ok</v>
      </c>
      <c r="X17">
        <f t="shared" si="3"/>
        <v>0</v>
      </c>
    </row>
    <row r="18" spans="1:24" x14ac:dyDescent="0.25">
      <c r="A18" s="1">
        <v>44317</v>
      </c>
      <c r="B18" s="2">
        <v>4.1666666666666664E-2</v>
      </c>
      <c r="C18" s="6">
        <v>1.7250900000000001E-3</v>
      </c>
      <c r="D18" s="6">
        <v>1.4425799999999999E-3</v>
      </c>
      <c r="E18" s="6">
        <v>8.6857000000000004E-4</v>
      </c>
      <c r="F18" s="6">
        <v>1.14342E-3</v>
      </c>
      <c r="G18" s="6">
        <v>1.2975E-3</v>
      </c>
      <c r="H18" s="6">
        <v>1.4438999999999999E-3</v>
      </c>
      <c r="I18" s="6">
        <v>1.3550000000000001E-3</v>
      </c>
      <c r="J18" s="6">
        <v>3.4720100000000002E-3</v>
      </c>
      <c r="L18">
        <v>9</v>
      </c>
      <c r="M18" t="s">
        <v>11</v>
      </c>
      <c r="N18" s="6">
        <f t="shared" ref="N18:U18" si="18">ROUND(C34/C35,4)</f>
        <v>0.99209999999999998</v>
      </c>
      <c r="O18" s="6">
        <f t="shared" si="18"/>
        <v>1.1248</v>
      </c>
      <c r="P18" s="6">
        <f t="shared" si="18"/>
        <v>1.0333000000000001</v>
      </c>
      <c r="Q18" s="6">
        <f t="shared" si="18"/>
        <v>1.0516000000000001</v>
      </c>
      <c r="R18" s="6">
        <f t="shared" si="18"/>
        <v>1.1200000000000001</v>
      </c>
      <c r="S18" s="6">
        <f t="shared" si="18"/>
        <v>1.3852</v>
      </c>
      <c r="T18" s="6">
        <f t="shared" si="18"/>
        <v>1.1645000000000001</v>
      </c>
      <c r="U18" s="6">
        <f t="shared" si="18"/>
        <v>1</v>
      </c>
      <c r="W18" s="6" t="str">
        <f t="shared" si="2"/>
        <v>ok</v>
      </c>
      <c r="X18">
        <f t="shared" si="3"/>
        <v>0</v>
      </c>
    </row>
    <row r="19" spans="1:24" x14ac:dyDescent="0.25">
      <c r="A19" s="1">
        <v>44317</v>
      </c>
      <c r="B19" s="2">
        <v>8.3333333333333329E-2</v>
      </c>
      <c r="C19" s="6">
        <v>1.5249199999999999E-3</v>
      </c>
      <c r="D19" s="6">
        <v>1.27092E-3</v>
      </c>
      <c r="E19" s="6">
        <v>8.6757000000000002E-4</v>
      </c>
      <c r="F19" s="6">
        <v>1.1409E-3</v>
      </c>
      <c r="G19" s="6">
        <v>1.1608300000000001E-3</v>
      </c>
      <c r="H19" s="6">
        <v>1.1449299999999999E-3</v>
      </c>
      <c r="I19" s="6">
        <v>1.1061199999999999E-3</v>
      </c>
      <c r="J19" s="6">
        <v>3.4720100000000002E-3</v>
      </c>
      <c r="L19">
        <v>9</v>
      </c>
      <c r="M19" t="s">
        <v>12</v>
      </c>
      <c r="N19" s="6">
        <f t="shared" ref="N19:U19" si="19">ROUND(C36/C37,4)</f>
        <v>0.90539999999999998</v>
      </c>
      <c r="O19" s="6">
        <f t="shared" si="19"/>
        <v>0.84660000000000002</v>
      </c>
      <c r="P19" s="6">
        <f t="shared" si="19"/>
        <v>1.1092</v>
      </c>
      <c r="Q19" s="6">
        <f t="shared" si="19"/>
        <v>1.0813999999999999</v>
      </c>
      <c r="R19" s="6">
        <f t="shared" si="19"/>
        <v>1.1858</v>
      </c>
      <c r="S19" s="6">
        <f t="shared" si="19"/>
        <v>1.1755</v>
      </c>
      <c r="T19" s="6">
        <f t="shared" si="19"/>
        <v>1.4737</v>
      </c>
      <c r="U19" s="6">
        <f t="shared" si="19"/>
        <v>1</v>
      </c>
      <c r="W19" s="6" t="str">
        <f t="shared" si="2"/>
        <v>ok</v>
      </c>
      <c r="X19">
        <f t="shared" si="3"/>
        <v>0</v>
      </c>
    </row>
    <row r="20" spans="1:24" x14ac:dyDescent="0.25">
      <c r="A20" s="1">
        <v>44347</v>
      </c>
      <c r="B20" s="2">
        <v>0.95833333333333337</v>
      </c>
      <c r="C20" s="6">
        <v>1.64901E-3</v>
      </c>
      <c r="D20" s="6">
        <v>1.2914300000000001E-3</v>
      </c>
      <c r="E20" s="6">
        <v>1.0777899999999999E-3</v>
      </c>
      <c r="F20" s="6">
        <v>1.1668500000000001E-3</v>
      </c>
      <c r="G20" s="6">
        <v>1.2170499999999999E-3</v>
      </c>
      <c r="H20" s="6">
        <v>1.74964E-3</v>
      </c>
      <c r="I20" s="6">
        <v>1.6886200000000001E-3</v>
      </c>
      <c r="J20" s="6">
        <v>3.7628200000000001E-3</v>
      </c>
      <c r="L20">
        <v>10</v>
      </c>
      <c r="M20" t="s">
        <v>11</v>
      </c>
      <c r="N20" s="6">
        <f t="shared" ref="N20:U20" si="20">ROUND(C38/C39,4)</f>
        <v>0.9556</v>
      </c>
      <c r="O20" s="6">
        <f t="shared" si="20"/>
        <v>1.1005</v>
      </c>
      <c r="P20" s="6">
        <f t="shared" si="20"/>
        <v>0.98260000000000003</v>
      </c>
      <c r="Q20" s="6">
        <f t="shared" si="20"/>
        <v>1.0693999999999999</v>
      </c>
      <c r="R20" s="6">
        <f t="shared" si="20"/>
        <v>1.1297999999999999</v>
      </c>
      <c r="S20" s="6">
        <f t="shared" si="20"/>
        <v>1.3229</v>
      </c>
      <c r="T20" s="6">
        <f t="shared" si="20"/>
        <v>1.1895</v>
      </c>
      <c r="U20" s="6">
        <f t="shared" si="20"/>
        <v>1</v>
      </c>
      <c r="W20" s="6" t="str">
        <f t="shared" si="2"/>
        <v>ok</v>
      </c>
      <c r="X20">
        <f t="shared" si="3"/>
        <v>0</v>
      </c>
    </row>
    <row r="21" spans="1:24" x14ac:dyDescent="0.25">
      <c r="A21" s="1">
        <v>44348</v>
      </c>
      <c r="B21" s="2">
        <v>0</v>
      </c>
      <c r="C21" s="6">
        <v>1.7107400000000001E-3</v>
      </c>
      <c r="D21" s="6">
        <v>1.28728E-3</v>
      </c>
      <c r="E21" s="6">
        <v>9.7513999999999999E-4</v>
      </c>
      <c r="F21" s="6">
        <v>1.0701E-3</v>
      </c>
      <c r="G21" s="6">
        <v>1.05243E-3</v>
      </c>
      <c r="H21" s="6">
        <v>1.5789700000000001E-3</v>
      </c>
      <c r="I21" s="6">
        <v>1.1547700000000001E-3</v>
      </c>
      <c r="J21" s="6">
        <v>3.7628200000000001E-3</v>
      </c>
      <c r="L21">
        <v>10</v>
      </c>
      <c r="M21" t="s">
        <v>12</v>
      </c>
      <c r="N21" s="6">
        <f t="shared" ref="N21:U21" si="21">ROUND(C40/C41,4)</f>
        <v>0.97570000000000001</v>
      </c>
      <c r="O21" s="6">
        <f t="shared" si="21"/>
        <v>0.87760000000000005</v>
      </c>
      <c r="P21" s="6">
        <f t="shared" si="21"/>
        <v>1.0277000000000001</v>
      </c>
      <c r="Q21" s="6">
        <f t="shared" si="21"/>
        <v>1.0547</v>
      </c>
      <c r="R21" s="6">
        <f t="shared" si="21"/>
        <v>1.1261000000000001</v>
      </c>
      <c r="S21" s="6">
        <f t="shared" si="21"/>
        <v>1.0185</v>
      </c>
      <c r="T21" s="6">
        <f t="shared" si="21"/>
        <v>1.3067</v>
      </c>
      <c r="U21" s="6">
        <f t="shared" si="21"/>
        <v>1</v>
      </c>
      <c r="W21" s="6" t="str">
        <f t="shared" si="2"/>
        <v>ok</v>
      </c>
      <c r="X21">
        <f t="shared" si="3"/>
        <v>0</v>
      </c>
    </row>
    <row r="22" spans="1:24" x14ac:dyDescent="0.25">
      <c r="A22" s="1">
        <v>44348</v>
      </c>
      <c r="B22" s="2">
        <v>4.1666666666666664E-2</v>
      </c>
      <c r="C22" s="6">
        <v>1.5928100000000001E-3</v>
      </c>
      <c r="D22" s="6">
        <v>1.3259299999999999E-3</v>
      </c>
      <c r="E22" s="6">
        <v>8.6861999999999996E-4</v>
      </c>
      <c r="F22" s="6">
        <v>1.02052E-3</v>
      </c>
      <c r="G22" s="6">
        <v>1.02472E-3</v>
      </c>
      <c r="H22" s="6">
        <v>1.21721E-3</v>
      </c>
      <c r="I22" s="6">
        <v>1.00329E-3</v>
      </c>
      <c r="J22" s="6">
        <v>3.7628200000000001E-3</v>
      </c>
      <c r="L22">
        <v>11</v>
      </c>
      <c r="M22" t="s">
        <v>11</v>
      </c>
      <c r="N22" s="6">
        <f t="shared" ref="N22:U22" si="22">ROUND(C42/C43,4)</f>
        <v>0.98980000000000001</v>
      </c>
      <c r="O22" s="6">
        <f t="shared" si="22"/>
        <v>1.0749</v>
      </c>
      <c r="P22" s="6">
        <f t="shared" si="22"/>
        <v>1.0189999999999999</v>
      </c>
      <c r="Q22" s="6">
        <f t="shared" si="22"/>
        <v>1.0449999999999999</v>
      </c>
      <c r="R22" s="6">
        <f t="shared" si="22"/>
        <v>1.0593999999999999</v>
      </c>
      <c r="S22" s="6">
        <f t="shared" si="22"/>
        <v>1.1989000000000001</v>
      </c>
      <c r="T22" s="6">
        <f t="shared" si="22"/>
        <v>1.2479</v>
      </c>
      <c r="U22" s="6">
        <f t="shared" si="22"/>
        <v>1</v>
      </c>
      <c r="W22" s="6" t="str">
        <f t="shared" si="2"/>
        <v>ok</v>
      </c>
      <c r="X22">
        <f t="shared" si="3"/>
        <v>0</v>
      </c>
    </row>
    <row r="23" spans="1:24" x14ac:dyDescent="0.25">
      <c r="A23" s="1">
        <v>44348</v>
      </c>
      <c r="B23" s="2">
        <v>8.3333333333333329E-2</v>
      </c>
      <c r="C23" s="6">
        <v>1.5895E-3</v>
      </c>
      <c r="D23" s="6">
        <v>1.2342200000000001E-3</v>
      </c>
      <c r="E23" s="6">
        <v>8.3796000000000001E-4</v>
      </c>
      <c r="F23" s="6">
        <v>9.6628999999999997E-4</v>
      </c>
      <c r="G23" s="6">
        <v>9.0552000000000004E-4</v>
      </c>
      <c r="H23" s="6">
        <v>8.6067000000000001E-4</v>
      </c>
      <c r="I23" s="6">
        <v>9.0008000000000004E-4</v>
      </c>
      <c r="J23" s="6">
        <v>3.7628200000000001E-3</v>
      </c>
      <c r="L23">
        <v>11</v>
      </c>
      <c r="M23" t="s">
        <v>12</v>
      </c>
      <c r="N23" s="6">
        <f t="shared" ref="N23:U23" si="23">ROUND(C44/C45,4)</f>
        <v>1.0138</v>
      </c>
      <c r="O23" s="6">
        <f t="shared" si="23"/>
        <v>1.0467</v>
      </c>
      <c r="P23" s="6">
        <f t="shared" si="23"/>
        <v>1.0613999999999999</v>
      </c>
      <c r="Q23" s="6">
        <f t="shared" si="23"/>
        <v>1.0208999999999999</v>
      </c>
      <c r="R23" s="6">
        <f t="shared" si="23"/>
        <v>1.1755</v>
      </c>
      <c r="S23" s="6">
        <f t="shared" si="23"/>
        <v>1.2241</v>
      </c>
      <c r="T23" s="6">
        <f t="shared" si="23"/>
        <v>1.4212</v>
      </c>
      <c r="U23" s="6">
        <f t="shared" si="23"/>
        <v>1</v>
      </c>
      <c r="W23" s="6" t="str">
        <f t="shared" si="2"/>
        <v>ok</v>
      </c>
      <c r="X23">
        <f t="shared" si="3"/>
        <v>0</v>
      </c>
    </row>
    <row r="24" spans="1:24" x14ac:dyDescent="0.25">
      <c r="A24" s="1">
        <v>44377</v>
      </c>
      <c r="B24" s="2">
        <v>0.95833333333333337</v>
      </c>
      <c r="C24" s="6">
        <v>1.6235399999999999E-3</v>
      </c>
      <c r="D24" s="6">
        <v>1.0855000000000001E-3</v>
      </c>
      <c r="E24" s="6">
        <v>9.7218999999999995E-4</v>
      </c>
      <c r="F24" s="6">
        <v>1.1820800000000001E-3</v>
      </c>
      <c r="G24" s="6">
        <v>1.32599E-3</v>
      </c>
      <c r="H24" s="6">
        <v>2.0949300000000001E-3</v>
      </c>
      <c r="I24" s="6">
        <v>2.05908E-3</v>
      </c>
      <c r="J24" s="6">
        <v>4.3773500000000003E-3</v>
      </c>
      <c r="L24">
        <v>12</v>
      </c>
      <c r="M24" t="s">
        <v>11</v>
      </c>
      <c r="N24" s="6">
        <f t="shared" ref="N24:U24" si="24">ROUND(C46/C47,4)</f>
        <v>1.0044</v>
      </c>
      <c r="O24" s="6">
        <f t="shared" si="24"/>
        <v>0.99929999999999997</v>
      </c>
      <c r="P24" s="6">
        <f t="shared" si="24"/>
        <v>0.94010000000000005</v>
      </c>
      <c r="Q24" s="6">
        <f t="shared" si="24"/>
        <v>0.99270000000000003</v>
      </c>
      <c r="R24" s="6">
        <f t="shared" si="24"/>
        <v>1.0726</v>
      </c>
      <c r="S24" s="6">
        <f t="shared" si="24"/>
        <v>1.1611</v>
      </c>
      <c r="T24" s="6">
        <f t="shared" si="24"/>
        <v>1.3216000000000001</v>
      </c>
      <c r="U24" s="6">
        <f t="shared" si="24"/>
        <v>1</v>
      </c>
      <c r="W24" s="6" t="str">
        <f t="shared" si="2"/>
        <v>ok</v>
      </c>
      <c r="X24">
        <f t="shared" si="3"/>
        <v>0</v>
      </c>
    </row>
    <row r="25" spans="1:24" x14ac:dyDescent="0.25">
      <c r="A25" s="1">
        <v>44378</v>
      </c>
      <c r="B25" s="2">
        <v>0</v>
      </c>
      <c r="C25" s="6">
        <v>1.61863E-3</v>
      </c>
      <c r="D25" s="6">
        <v>1.3050099999999999E-3</v>
      </c>
      <c r="E25" s="6">
        <v>8.5039000000000002E-4</v>
      </c>
      <c r="F25" s="6">
        <v>1.1005499999999998E-3</v>
      </c>
      <c r="G25" s="6">
        <v>1.06784E-3</v>
      </c>
      <c r="H25" s="6">
        <v>1.8911900000000001E-3</v>
      </c>
      <c r="I25" s="6">
        <v>1.57464E-3</v>
      </c>
      <c r="J25" s="6">
        <v>4.3773500000000003E-3</v>
      </c>
      <c r="L25">
        <v>12</v>
      </c>
      <c r="M25" t="s">
        <v>12</v>
      </c>
      <c r="N25" s="6">
        <f t="shared" ref="N25:U25" si="25">ROUND(C48/C49,4)</f>
        <v>1.0482</v>
      </c>
      <c r="O25" s="6">
        <f t="shared" si="25"/>
        <v>0.94499999999999995</v>
      </c>
      <c r="P25" s="6">
        <f t="shared" si="25"/>
        <v>0.99339999999999995</v>
      </c>
      <c r="Q25" s="6">
        <f t="shared" si="25"/>
        <v>1.0018</v>
      </c>
      <c r="R25" s="6">
        <f t="shared" si="25"/>
        <v>1.0438000000000001</v>
      </c>
      <c r="S25" s="6">
        <f t="shared" si="25"/>
        <v>1.0227999999999999</v>
      </c>
      <c r="T25" s="6">
        <f t="shared" si="25"/>
        <v>0.98309999999999997</v>
      </c>
      <c r="U25" s="6">
        <f t="shared" si="25"/>
        <v>1</v>
      </c>
      <c r="W25" s="6" t="str">
        <f t="shared" si="2"/>
        <v>ok</v>
      </c>
      <c r="X25">
        <f t="shared" si="3"/>
        <v>0</v>
      </c>
    </row>
    <row r="26" spans="1:24" x14ac:dyDescent="0.25">
      <c r="A26" s="1">
        <v>44378</v>
      </c>
      <c r="B26" s="2">
        <v>4.1666666666666664E-2</v>
      </c>
      <c r="C26" s="6">
        <v>1.5155699999999999E-3</v>
      </c>
      <c r="D26" s="6">
        <v>1.11433E-3</v>
      </c>
      <c r="E26" s="6">
        <v>8.1963000000000001E-4</v>
      </c>
      <c r="F26" s="6">
        <v>9.7850999999999993E-4</v>
      </c>
      <c r="G26" s="6">
        <v>1.0284999999999999E-3</v>
      </c>
      <c r="H26" s="6">
        <v>1.3045299999999999E-3</v>
      </c>
      <c r="I26" s="6">
        <v>1.28348E-3</v>
      </c>
      <c r="J26" s="6">
        <v>4.3773500000000003E-3</v>
      </c>
    </row>
    <row r="27" spans="1:24" x14ac:dyDescent="0.25">
      <c r="A27" s="1">
        <v>44378</v>
      </c>
      <c r="B27" s="2">
        <v>8.3333333333333329E-2</v>
      </c>
      <c r="C27" s="6">
        <v>1.43724E-3</v>
      </c>
      <c r="D27" s="6">
        <v>9.9401000000000003E-4</v>
      </c>
      <c r="E27" s="6">
        <v>7.8209999999999998E-4</v>
      </c>
      <c r="F27" s="6">
        <v>9.4534000000000003E-4</v>
      </c>
      <c r="G27" s="6">
        <v>9.4623999999999999E-4</v>
      </c>
      <c r="H27" s="6">
        <v>9.3625000000000002E-4</v>
      </c>
      <c r="I27" s="6">
        <v>9.3780999999999997E-4</v>
      </c>
      <c r="J27" s="6">
        <v>4.3773500000000003E-3</v>
      </c>
    </row>
    <row r="28" spans="1:24" x14ac:dyDescent="0.25">
      <c r="A28" s="1">
        <v>44408</v>
      </c>
      <c r="B28" s="2">
        <v>0.95833333333333337</v>
      </c>
      <c r="C28" s="6">
        <v>7.1281000000000003E-4</v>
      </c>
      <c r="D28" s="6">
        <v>1.14766E-3</v>
      </c>
      <c r="E28" s="6">
        <v>8.5736000000000004E-4</v>
      </c>
      <c r="F28" s="6">
        <v>1.1024699999999999E-3</v>
      </c>
      <c r="G28" s="6">
        <v>1.3934799999999999E-3</v>
      </c>
      <c r="H28" s="6">
        <v>1.65153E-3</v>
      </c>
      <c r="I28" s="6">
        <v>2.2393600000000001E-3</v>
      </c>
      <c r="J28" s="6">
        <v>4.1769399999999996E-3</v>
      </c>
    </row>
    <row r="29" spans="1:24" x14ac:dyDescent="0.25">
      <c r="A29" s="1">
        <v>44409</v>
      </c>
      <c r="B29" s="2">
        <v>0</v>
      </c>
      <c r="C29" s="6">
        <v>6.6275999999999998E-4</v>
      </c>
      <c r="D29" s="6">
        <v>1.1859700000000002E-3</v>
      </c>
      <c r="E29" s="6">
        <v>8.5337E-4</v>
      </c>
      <c r="F29" s="6">
        <v>1.04929E-3</v>
      </c>
      <c r="G29" s="6">
        <v>1.25621E-3</v>
      </c>
      <c r="H29" s="6">
        <v>1.6996000000000001E-3</v>
      </c>
      <c r="I29" s="6">
        <v>1.8464600000000001E-3</v>
      </c>
      <c r="J29" s="6">
        <v>4.1769399999999996E-3</v>
      </c>
    </row>
    <row r="30" spans="1:24" x14ac:dyDescent="0.25">
      <c r="A30" s="1">
        <v>44409</v>
      </c>
      <c r="B30" s="2">
        <v>4.1666666666666664E-2</v>
      </c>
      <c r="C30" s="6">
        <v>6.2297000000000003E-4</v>
      </c>
      <c r="D30" s="6">
        <v>1.17745E-3</v>
      </c>
      <c r="E30" s="6">
        <v>7.5967000000000005E-4</v>
      </c>
      <c r="F30" s="6">
        <v>1.03432E-3</v>
      </c>
      <c r="G30" s="6">
        <v>1.17471E-3</v>
      </c>
      <c r="H30" s="6">
        <v>1.1735000000000001E-3</v>
      </c>
      <c r="I30" s="6">
        <v>1.4423999999999999E-3</v>
      </c>
      <c r="J30" s="6">
        <v>4.1769399999999996E-3</v>
      </c>
    </row>
    <row r="31" spans="1:24" x14ac:dyDescent="0.25">
      <c r="A31" s="1">
        <v>44409</v>
      </c>
      <c r="B31" s="2">
        <v>8.3333333333333329E-2</v>
      </c>
      <c r="C31" s="6">
        <v>6.0077999999999998E-4</v>
      </c>
      <c r="D31" s="6">
        <v>1.11523E-3</v>
      </c>
      <c r="E31" s="6">
        <v>7.3397000000000002E-4</v>
      </c>
      <c r="F31" s="6">
        <v>9.5193999999999997E-4</v>
      </c>
      <c r="G31" s="6">
        <v>1.06317E-3</v>
      </c>
      <c r="H31" s="6">
        <v>8.1773999999999996E-4</v>
      </c>
      <c r="I31" s="6">
        <v>1.1286200000000001E-3</v>
      </c>
      <c r="J31" s="6">
        <v>4.1769399999999996E-3</v>
      </c>
    </row>
    <row r="32" spans="1:24" x14ac:dyDescent="0.25">
      <c r="A32" s="1">
        <v>44439</v>
      </c>
      <c r="B32" s="2">
        <v>0.95833333333333337</v>
      </c>
      <c r="C32" s="6">
        <v>1.48741E-3</v>
      </c>
      <c r="D32" s="6">
        <v>1.1019300000000001E-3</v>
      </c>
      <c r="E32" s="6">
        <v>9.2882000000000001E-4</v>
      </c>
      <c r="F32" s="6">
        <v>1.1816400000000001E-3</v>
      </c>
      <c r="G32" s="6">
        <v>1.31645E-3</v>
      </c>
      <c r="H32" s="6">
        <v>1.61561E-3</v>
      </c>
      <c r="I32" s="6">
        <v>1.9910700000000002E-3</v>
      </c>
      <c r="J32" s="6">
        <v>3.7501700000000002E-3</v>
      </c>
    </row>
    <row r="33" spans="1:10" x14ac:dyDescent="0.25">
      <c r="A33" s="1">
        <v>44440</v>
      </c>
      <c r="B33" s="2">
        <v>0</v>
      </c>
      <c r="C33" s="6">
        <v>1.5580800000000001E-3</v>
      </c>
      <c r="D33" s="6">
        <v>1.1424E-3</v>
      </c>
      <c r="E33" s="6">
        <v>8.0799000000000008E-4</v>
      </c>
      <c r="F33" s="6">
        <v>1.1013100000000001E-3</v>
      </c>
      <c r="G33" s="6">
        <v>1.1229499999999999E-3</v>
      </c>
      <c r="H33" s="6">
        <v>1.6821100000000001E-3</v>
      </c>
      <c r="I33" s="6">
        <v>1.76549E-3</v>
      </c>
      <c r="J33" s="6">
        <v>3.7501700000000002E-3</v>
      </c>
    </row>
    <row r="34" spans="1:10" x14ac:dyDescent="0.25">
      <c r="A34" s="3">
        <v>44440</v>
      </c>
      <c r="B34" s="4">
        <v>4.1666666666666664E-2</v>
      </c>
      <c r="C34" s="7">
        <v>1.5851699999999999E-3</v>
      </c>
      <c r="D34" s="7">
        <v>1.2784000000000001E-3</v>
      </c>
      <c r="E34" s="7">
        <v>7.8861999999999997E-4</v>
      </c>
      <c r="F34" s="7">
        <v>1.0717299999999999E-3</v>
      </c>
      <c r="G34" s="7">
        <v>1.0175900000000001E-3</v>
      </c>
      <c r="H34" s="7">
        <v>1.15642E-3</v>
      </c>
      <c r="I34" s="7">
        <v>1.0289299999999999E-3</v>
      </c>
      <c r="J34" s="7">
        <v>3.7501700000000002E-3</v>
      </c>
    </row>
    <row r="35" spans="1:10" x14ac:dyDescent="0.25">
      <c r="A35" s="3">
        <v>44440</v>
      </c>
      <c r="B35" s="4">
        <v>8.3333333333333329E-2</v>
      </c>
      <c r="C35" s="7">
        <v>1.59772E-3</v>
      </c>
      <c r="D35" s="7">
        <v>1.13656E-3</v>
      </c>
      <c r="E35" s="7">
        <v>7.6318999999999996E-4</v>
      </c>
      <c r="F35" s="7">
        <v>1.01914E-3</v>
      </c>
      <c r="G35" s="7">
        <v>9.0855999999999999E-4</v>
      </c>
      <c r="H35" s="7">
        <v>8.3485999999999999E-4</v>
      </c>
      <c r="I35" s="7">
        <v>8.8356000000000003E-4</v>
      </c>
      <c r="J35" s="7">
        <v>3.7501700000000002E-3</v>
      </c>
    </row>
    <row r="36" spans="1:10" x14ac:dyDescent="0.25">
      <c r="A36" s="1">
        <v>44469</v>
      </c>
      <c r="B36" s="2">
        <v>0.95833333333333337</v>
      </c>
      <c r="C36" s="6">
        <v>1.4771999999999999E-3</v>
      </c>
      <c r="D36" s="6">
        <v>1.1035299999999999E-3</v>
      </c>
      <c r="E36" s="6">
        <v>9.2582999999999999E-4</v>
      </c>
      <c r="F36" s="6">
        <v>1.26428E-3</v>
      </c>
      <c r="G36" s="6">
        <v>1.33421E-3</v>
      </c>
      <c r="H36" s="6">
        <v>1.8705600000000001E-3</v>
      </c>
      <c r="I36" s="6">
        <v>2.07873E-3</v>
      </c>
      <c r="J36" s="6">
        <v>3.1977400000000001E-3</v>
      </c>
    </row>
    <row r="37" spans="1:10" x14ac:dyDescent="0.25">
      <c r="A37" s="1">
        <v>44470</v>
      </c>
      <c r="B37" s="2">
        <v>0</v>
      </c>
      <c r="C37" s="6">
        <v>1.63156E-3</v>
      </c>
      <c r="D37" s="6">
        <v>1.30353E-3</v>
      </c>
      <c r="E37" s="6">
        <v>8.3467999999999997E-4</v>
      </c>
      <c r="F37" s="6">
        <v>1.1691E-3</v>
      </c>
      <c r="G37" s="6">
        <v>1.1252E-3</v>
      </c>
      <c r="H37" s="6">
        <v>1.5912700000000001E-3</v>
      </c>
      <c r="I37" s="6">
        <v>1.41052E-3</v>
      </c>
      <c r="J37" s="6">
        <v>3.1977400000000001E-3</v>
      </c>
    </row>
    <row r="38" spans="1:10" x14ac:dyDescent="0.25">
      <c r="A38" s="1">
        <v>44470</v>
      </c>
      <c r="B38" s="2">
        <v>4.1666666666666664E-2</v>
      </c>
      <c r="C38" s="6">
        <v>1.5289699999999999E-3</v>
      </c>
      <c r="D38" s="6">
        <v>1.26038E-3</v>
      </c>
      <c r="E38" s="6">
        <v>9.0054999999999996E-4</v>
      </c>
      <c r="F38" s="6">
        <v>9.7900000000000005E-4</v>
      </c>
      <c r="G38" s="6">
        <v>1.0097999999999999E-3</v>
      </c>
      <c r="H38" s="6">
        <v>1.34253E-3</v>
      </c>
      <c r="I38" s="6">
        <v>9.7435000000000002E-4</v>
      </c>
      <c r="J38" s="6">
        <v>3.1977400000000001E-3</v>
      </c>
    </row>
    <row r="39" spans="1:10" x14ac:dyDescent="0.25">
      <c r="A39" s="1">
        <v>44470</v>
      </c>
      <c r="B39" s="2">
        <v>8.3333333333333329E-2</v>
      </c>
      <c r="C39" s="6">
        <v>1.60001E-3</v>
      </c>
      <c r="D39" s="6">
        <v>1.1452999999999999E-3</v>
      </c>
      <c r="E39" s="6">
        <v>9.1646999999999996E-4</v>
      </c>
      <c r="F39" s="6">
        <v>9.1549000000000003E-4</v>
      </c>
      <c r="G39" s="6">
        <v>8.9380999999999998E-4</v>
      </c>
      <c r="H39" s="6">
        <v>1.01486E-3</v>
      </c>
      <c r="I39" s="6">
        <v>8.1910000000000001E-4</v>
      </c>
      <c r="J39" s="6">
        <v>3.1977400000000001E-3</v>
      </c>
    </row>
    <row r="40" spans="1:10" x14ac:dyDescent="0.25">
      <c r="A40" s="1">
        <v>44500</v>
      </c>
      <c r="B40" s="2">
        <v>0.95833333333333337</v>
      </c>
      <c r="C40" s="6">
        <v>1.5189299999999999E-3</v>
      </c>
      <c r="D40" s="6">
        <v>1.20535E-3</v>
      </c>
      <c r="E40" s="6">
        <v>7.5597999999999995E-4</v>
      </c>
      <c r="F40" s="6">
        <v>1.0801299999999999E-3</v>
      </c>
      <c r="G40" s="6">
        <v>1.0271900000000001E-3</v>
      </c>
      <c r="H40" s="6">
        <v>1.70535E-3</v>
      </c>
      <c r="I40" s="6">
        <v>1.62396E-3</v>
      </c>
      <c r="J40" s="6">
        <v>2.6792600000000001E-3</v>
      </c>
    </row>
    <row r="41" spans="1:10" x14ac:dyDescent="0.25">
      <c r="A41" s="1">
        <v>44501</v>
      </c>
      <c r="B41" s="2">
        <v>0</v>
      </c>
      <c r="C41" s="6">
        <v>1.5567999999999999E-3</v>
      </c>
      <c r="D41" s="6">
        <v>1.37352E-3</v>
      </c>
      <c r="E41" s="6">
        <v>7.3563000000000003E-4</v>
      </c>
      <c r="F41" s="6">
        <v>1.02407E-3</v>
      </c>
      <c r="G41" s="6">
        <v>9.1220000000000006E-4</v>
      </c>
      <c r="H41" s="6">
        <v>1.6743799999999998E-3</v>
      </c>
      <c r="I41" s="6">
        <v>1.24284E-3</v>
      </c>
      <c r="J41" s="6">
        <v>2.6792600000000001E-3</v>
      </c>
    </row>
    <row r="42" spans="1:10" x14ac:dyDescent="0.25">
      <c r="A42" s="1">
        <v>44501</v>
      </c>
      <c r="B42" s="2">
        <v>4.1666666666666664E-2</v>
      </c>
      <c r="C42" s="6">
        <v>1.5997100000000001E-3</v>
      </c>
      <c r="D42" s="6">
        <v>1.3183299999999999E-3</v>
      </c>
      <c r="E42" s="6">
        <v>9.5611999999999997E-4</v>
      </c>
      <c r="F42" s="6">
        <v>9.7882000000000004E-4</v>
      </c>
      <c r="G42" s="6">
        <v>8.5798999999999999E-4</v>
      </c>
      <c r="H42" s="6">
        <v>1.2929300000000001E-3</v>
      </c>
      <c r="I42" s="6">
        <v>1.0547499999999999E-3</v>
      </c>
      <c r="J42" s="6">
        <v>2.6792600000000001E-3</v>
      </c>
    </row>
    <row r="43" spans="1:10" x14ac:dyDescent="0.25">
      <c r="A43" s="1">
        <v>44501</v>
      </c>
      <c r="B43" s="2">
        <v>8.3333333333333329E-2</v>
      </c>
      <c r="C43" s="6">
        <v>1.6161400000000001E-3</v>
      </c>
      <c r="D43" s="6">
        <v>1.22646E-3</v>
      </c>
      <c r="E43" s="6">
        <v>9.3828E-4</v>
      </c>
      <c r="F43" s="6">
        <v>9.3663000000000004E-4</v>
      </c>
      <c r="G43" s="6">
        <v>8.0984999999999998E-4</v>
      </c>
      <c r="H43" s="6">
        <v>1.07847E-3</v>
      </c>
      <c r="I43" s="6">
        <v>8.4520000000000005E-4</v>
      </c>
      <c r="J43" s="6">
        <v>2.6792600000000001E-3</v>
      </c>
    </row>
    <row r="44" spans="1:10" x14ac:dyDescent="0.25">
      <c r="A44" s="1">
        <v>44530</v>
      </c>
      <c r="B44" s="2">
        <v>0.95833333333333337</v>
      </c>
      <c r="C44" s="6">
        <v>1.51713E-3</v>
      </c>
      <c r="D44" s="6">
        <v>1.35954E-3</v>
      </c>
      <c r="E44" s="6">
        <v>7.7698999999999997E-4</v>
      </c>
      <c r="F44" s="6">
        <v>1.1327399999999999E-3</v>
      </c>
      <c r="G44" s="6">
        <v>1.2116900000000001E-3</v>
      </c>
      <c r="H44" s="6">
        <v>1.7584199999999999E-3</v>
      </c>
      <c r="I44" s="6">
        <v>2.1650800000000002E-3</v>
      </c>
      <c r="J44" s="6">
        <v>2.5299300000000001E-3</v>
      </c>
    </row>
    <row r="45" spans="1:10" x14ac:dyDescent="0.25">
      <c r="A45" s="1">
        <v>44531</v>
      </c>
      <c r="B45" s="2">
        <v>0</v>
      </c>
      <c r="C45" s="6">
        <v>1.4964100000000001E-3</v>
      </c>
      <c r="D45" s="6">
        <v>1.2988299999999999E-3</v>
      </c>
      <c r="E45" s="6">
        <v>7.3203999999999999E-4</v>
      </c>
      <c r="F45" s="6">
        <v>1.10954E-3</v>
      </c>
      <c r="G45" s="6">
        <v>1.0307900000000002E-3</v>
      </c>
      <c r="H45" s="6">
        <v>1.43651E-3</v>
      </c>
      <c r="I45" s="6">
        <v>1.5233899999999999E-3</v>
      </c>
      <c r="J45" s="6">
        <v>2.5299300000000001E-3</v>
      </c>
    </row>
    <row r="46" spans="1:10" x14ac:dyDescent="0.25">
      <c r="A46" s="1">
        <v>44531</v>
      </c>
      <c r="B46" s="2">
        <v>4.1666666666666664E-2</v>
      </c>
      <c r="C46" s="6">
        <v>1.48795E-3</v>
      </c>
      <c r="D46" s="6">
        <v>1.36878E-3</v>
      </c>
      <c r="E46" s="6">
        <v>1.1204400000000001E-3</v>
      </c>
      <c r="F46" s="6">
        <v>1.1256199999999999E-3</v>
      </c>
      <c r="G46" s="6">
        <v>1.0061E-3</v>
      </c>
      <c r="H46" s="6">
        <v>1.1946400000000001E-3</v>
      </c>
      <c r="I46" s="6">
        <v>1.3104499999999999E-3</v>
      </c>
      <c r="J46" s="6">
        <v>2.5299300000000001E-3</v>
      </c>
    </row>
    <row r="47" spans="1:10" x14ac:dyDescent="0.25">
      <c r="A47" s="1">
        <v>44531</v>
      </c>
      <c r="B47" s="2">
        <v>8.3333333333333329E-2</v>
      </c>
      <c r="C47" s="6">
        <v>1.48138E-3</v>
      </c>
      <c r="D47" s="6">
        <v>1.36969E-3</v>
      </c>
      <c r="E47" s="6">
        <v>1.1918199999999999E-3</v>
      </c>
      <c r="F47" s="6">
        <v>1.1339200000000001E-3</v>
      </c>
      <c r="G47" s="6">
        <v>9.3804000000000001E-4</v>
      </c>
      <c r="H47" s="6">
        <v>1.0288999999999999E-3</v>
      </c>
      <c r="I47" s="6">
        <v>9.9160000000000003E-4</v>
      </c>
      <c r="J47" s="6">
        <v>2.5299300000000001E-3</v>
      </c>
    </row>
    <row r="48" spans="1:10" x14ac:dyDescent="0.25">
      <c r="A48" s="1">
        <v>44561</v>
      </c>
      <c r="B48" s="2">
        <v>0.95833333333333337</v>
      </c>
      <c r="C48" s="6">
        <v>8.5988999999999998E-4</v>
      </c>
      <c r="D48" s="6">
        <v>1.41818E-3</v>
      </c>
      <c r="E48" s="6">
        <v>9.1383999999999996E-4</v>
      </c>
      <c r="F48" s="6">
        <v>9.6633000000000005E-4</v>
      </c>
      <c r="G48" s="6">
        <v>1.47276E-3</v>
      </c>
      <c r="H48" s="6">
        <v>1.9638500000000001E-3</v>
      </c>
      <c r="I48" s="6">
        <v>2.2999800000000001E-3</v>
      </c>
      <c r="J48" s="6">
        <v>2.3585899999999998E-3</v>
      </c>
    </row>
    <row r="49" spans="1:10" x14ac:dyDescent="0.25">
      <c r="A49" s="1">
        <v>44562</v>
      </c>
      <c r="B49" s="2">
        <v>0</v>
      </c>
      <c r="C49" s="6">
        <v>8.2031999999999993E-4</v>
      </c>
      <c r="D49" s="6">
        <v>1.5007E-3</v>
      </c>
      <c r="E49" s="6">
        <v>9.199299999999999E-4</v>
      </c>
      <c r="F49" s="6">
        <v>9.645700000000001E-4</v>
      </c>
      <c r="G49" s="6">
        <v>1.4109700000000001E-3</v>
      </c>
      <c r="H49" s="6">
        <v>1.92011E-3</v>
      </c>
      <c r="I49" s="6">
        <v>2.3396099999999998E-3</v>
      </c>
      <c r="J49" s="6">
        <v>2.3585899999999998E-3</v>
      </c>
    </row>
  </sheetData>
  <conditionalFormatting sqref="W2:W25">
    <cfRule type="expression" priority="1">
      <formula>AND(ISNUMBER(J1), COUNTIF(1:1,J1)&gt;1)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A2D188-A66C-4461-B570-FE9041714B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Types</vt:lpstr>
      <vt:lpstr>Profiles</vt:lpstr>
      <vt:lpstr>SumByHours</vt:lpstr>
      <vt:lpstr>Coefficient_2020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Цветан Руменов Цонев</dc:creator>
  <cp:lastModifiedBy>Цветан Руменов Цонев</cp:lastModifiedBy>
  <dcterms:created xsi:type="dcterms:W3CDTF">2015-06-05T18:19:34Z</dcterms:created>
  <dcterms:modified xsi:type="dcterms:W3CDTF">2021-01-07T13:04:27Z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Worksheets_1" visible="true" label="ImportWorksheets" imageMso="ResultsPaneStartFindAndReplace" onAction="ImportWorksheets"/>
      </mso:documentControls>
    </mso:qat>
  </mso:ribbon>
</mso:customUI>
</file>